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NDTC\Desktop\JavaScript-codes\"/>
    </mc:Choice>
  </mc:AlternateContent>
  <xr:revisionPtr revIDLastSave="0" documentId="13_ncr:1_{4BFEF96A-8677-43AF-842B-B5EE3B633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علومات الخدمات" sheetId="1" r:id="rId1"/>
    <sheet name="الدفع الالكتروني" sheetId="3" r:id="rId2"/>
    <sheet name="احصائيات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2" l="1"/>
  <c r="C42" i="2"/>
  <c r="A241" i="1"/>
  <c r="A240" i="1"/>
  <c r="A239" i="1"/>
  <c r="A6" i="3"/>
  <c r="A5" i="3"/>
  <c r="A4" i="3"/>
  <c r="A3" i="3"/>
  <c r="A2" i="3"/>
  <c r="A233" i="1"/>
  <c r="A237" i="1"/>
  <c r="A216" i="1"/>
  <c r="A238" i="1"/>
  <c r="A236" i="1"/>
  <c r="A13" i="1"/>
  <c r="A235" i="1"/>
  <c r="A190" i="1"/>
  <c r="C41" i="2"/>
  <c r="F17" i="2"/>
  <c r="F18" i="2"/>
  <c r="F19" i="2"/>
  <c r="F23" i="2"/>
  <c r="F24" i="2"/>
  <c r="F25" i="2"/>
  <c r="A226" i="1"/>
  <c r="A205" i="1"/>
  <c r="A199" i="1"/>
  <c r="A200" i="1"/>
  <c r="A209" i="1"/>
  <c r="A234" i="1"/>
  <c r="A232" i="1"/>
  <c r="A207" i="1"/>
  <c r="A15" i="1"/>
  <c r="A229" i="1"/>
  <c r="A55" i="1"/>
  <c r="A150" i="1"/>
  <c r="A147" i="1"/>
  <c r="A230" i="1"/>
  <c r="A201" i="1"/>
  <c r="A198" i="1"/>
  <c r="A167" i="1"/>
  <c r="A219" i="1"/>
  <c r="A212" i="1"/>
  <c r="A187" i="1"/>
  <c r="A188" i="1"/>
  <c r="A214" i="1"/>
  <c r="A231" i="1"/>
  <c r="A225" i="1"/>
  <c r="A217" i="1"/>
  <c r="A208" i="1"/>
  <c r="A24" i="1"/>
  <c r="A109" i="1"/>
  <c r="A222" i="1"/>
  <c r="A227" i="1"/>
  <c r="A73" i="1"/>
  <c r="A228" i="1"/>
  <c r="A194" i="1"/>
  <c r="A223" i="1"/>
  <c r="A211" i="1"/>
  <c r="A220" i="1"/>
  <c r="A224" i="1"/>
  <c r="A202" i="1"/>
  <c r="A221" i="1"/>
  <c r="A128" i="1"/>
  <c r="A136" i="1"/>
  <c r="A129" i="1"/>
  <c r="A142" i="1"/>
  <c r="A135" i="1"/>
  <c r="A134" i="1"/>
  <c r="A130" i="1"/>
  <c r="A35" i="1"/>
  <c r="A160" i="1"/>
  <c r="A149" i="1"/>
  <c r="A155" i="1"/>
  <c r="A156" i="1"/>
  <c r="A157" i="1"/>
  <c r="A161" i="1"/>
  <c r="A163" i="1"/>
  <c r="A164" i="1"/>
  <c r="A165" i="1"/>
  <c r="A166" i="1"/>
  <c r="A3" i="1"/>
  <c r="A210" i="1"/>
  <c r="A218" i="1"/>
  <c r="A35" i="2"/>
  <c r="C35" i="2"/>
  <c r="A43" i="1"/>
  <c r="A213" i="1"/>
  <c r="A168" i="1"/>
  <c r="A170" i="1"/>
  <c r="A191" i="1"/>
  <c r="A215" i="1"/>
  <c r="A34" i="1"/>
  <c r="A31" i="1"/>
  <c r="A5" i="2"/>
  <c r="C5" i="2"/>
  <c r="A206" i="1"/>
  <c r="A203" i="1"/>
  <c r="A93" i="1"/>
  <c r="A197" i="1"/>
  <c r="A189" i="1"/>
  <c r="A195" i="1"/>
  <c r="A204" i="1"/>
  <c r="A178" i="1"/>
  <c r="A169" i="1"/>
  <c r="A184" i="1"/>
  <c r="A185" i="1"/>
  <c r="A106" i="1"/>
  <c r="A40" i="2"/>
  <c r="C40" i="2"/>
  <c r="A193" i="1"/>
  <c r="A38" i="2"/>
  <c r="C38" i="2"/>
  <c r="A153" i="1"/>
  <c r="A145" i="1"/>
  <c r="A146" i="1"/>
  <c r="A176" i="1"/>
  <c r="A28" i="1"/>
  <c r="A39" i="2"/>
  <c r="C39" i="2"/>
  <c r="A5" i="1"/>
  <c r="A196" i="1"/>
  <c r="A37" i="1"/>
  <c r="A159" i="1"/>
  <c r="A192" i="1"/>
  <c r="A123" i="1"/>
  <c r="A6" i="1"/>
  <c r="A171" i="1"/>
  <c r="A181" i="1"/>
  <c r="A177" i="1"/>
  <c r="A186" i="1"/>
  <c r="A60" i="1"/>
  <c r="A182" i="1"/>
  <c r="A88" i="1"/>
  <c r="A89" i="1"/>
  <c r="A179" i="1"/>
  <c r="A41" i="2"/>
  <c r="A37" i="2"/>
  <c r="C37" i="2"/>
  <c r="A36" i="2"/>
  <c r="C36" i="2"/>
  <c r="A34" i="2"/>
  <c r="C34" i="2"/>
  <c r="A33" i="2"/>
  <c r="C33" i="2"/>
  <c r="A32" i="2"/>
  <c r="C32" i="2"/>
  <c r="A31" i="2"/>
  <c r="C31" i="2"/>
  <c r="A30" i="2"/>
  <c r="C30" i="2"/>
  <c r="A29" i="2"/>
  <c r="C29" i="2"/>
  <c r="A28" i="2"/>
  <c r="C28" i="2"/>
  <c r="A27" i="2"/>
  <c r="C27" i="2"/>
  <c r="A26" i="2"/>
  <c r="C26" i="2"/>
  <c r="A25" i="2"/>
  <c r="C25" i="2"/>
  <c r="A24" i="2"/>
  <c r="C24" i="2"/>
  <c r="A23" i="2"/>
  <c r="C23" i="2"/>
  <c r="A22" i="2"/>
  <c r="C22" i="2"/>
  <c r="A21" i="2"/>
  <c r="C21" i="2"/>
  <c r="A20" i="2"/>
  <c r="C20" i="2"/>
  <c r="A3" i="2"/>
  <c r="C3" i="2"/>
  <c r="A19" i="2"/>
  <c r="C19" i="2"/>
  <c r="A18" i="2"/>
  <c r="C18" i="2"/>
  <c r="A17" i="2"/>
  <c r="C17" i="2"/>
  <c r="A16" i="2"/>
  <c r="C16" i="2"/>
  <c r="A15" i="2"/>
  <c r="C15" i="2"/>
  <c r="A14" i="2"/>
  <c r="C14" i="2"/>
  <c r="A13" i="2"/>
  <c r="C13" i="2"/>
  <c r="A12" i="2"/>
  <c r="C12" i="2"/>
  <c r="A11" i="2"/>
  <c r="C11" i="2"/>
  <c r="A10" i="2"/>
  <c r="C10" i="2"/>
  <c r="A9" i="2"/>
  <c r="C9" i="2"/>
  <c r="A8" i="2"/>
  <c r="C8" i="2"/>
  <c r="A7" i="2"/>
  <c r="C7" i="2"/>
  <c r="A6" i="2"/>
  <c r="C6" i="2"/>
  <c r="A4" i="2"/>
  <c r="C4" i="2"/>
  <c r="A4" i="1"/>
  <c r="A183" i="1"/>
  <c r="A151" i="1"/>
  <c r="A83" i="1"/>
  <c r="A100" i="1" l="1"/>
  <c r="A174" i="1"/>
  <c r="A180" i="1"/>
  <c r="A173" i="1"/>
  <c r="A162" i="1"/>
  <c r="A158" i="1"/>
  <c r="A14" i="1"/>
  <c r="A91" i="1"/>
  <c r="A172" i="1"/>
  <c r="A62" i="1"/>
  <c r="A78" i="1"/>
  <c r="A175" i="1"/>
  <c r="A138" i="1"/>
  <c r="A40" i="1"/>
  <c r="A42" i="1"/>
  <c r="A118" i="1"/>
  <c r="A139" i="1"/>
  <c r="A8" i="1"/>
  <c r="A41" i="1"/>
  <c r="A56" i="1"/>
  <c r="A47" i="1"/>
  <c r="A122" i="1"/>
  <c r="A30" i="1"/>
  <c r="A98" i="1"/>
  <c r="A2" i="1"/>
  <c r="A152" i="1"/>
  <c r="A154" i="1"/>
  <c r="A74" i="1"/>
  <c r="A25" i="1"/>
  <c r="A26" i="1"/>
  <c r="A21" i="1"/>
  <c r="A22" i="1"/>
  <c r="A18" i="1"/>
  <c r="A17" i="1"/>
  <c r="A19" i="1"/>
  <c r="A148" i="1"/>
  <c r="A49" i="1"/>
  <c r="A141" i="1"/>
  <c r="A126" i="1"/>
  <c r="F3" i="2"/>
  <c r="H3" i="2"/>
  <c r="A2" i="2"/>
  <c r="C2" i="2"/>
  <c r="A143" i="1"/>
  <c r="A140" i="1"/>
  <c r="A80" i="1"/>
  <c r="A27" i="1"/>
  <c r="A144" i="1"/>
  <c r="A120" i="1"/>
  <c r="A112" i="1"/>
  <c r="A121" i="1"/>
  <c r="A96" i="1"/>
  <c r="A137" i="1"/>
  <c r="A113" i="1"/>
  <c r="A81" i="1"/>
  <c r="A45" i="1"/>
  <c r="A132" i="1"/>
  <c r="A50" i="1"/>
  <c r="A133" i="1"/>
  <c r="A53" i="1"/>
  <c r="A131" i="1"/>
  <c r="A110" i="1"/>
  <c r="A111" i="1"/>
  <c r="A125" i="1"/>
  <c r="A124" i="1"/>
  <c r="A127" i="1"/>
  <c r="F6" i="2"/>
  <c r="H6" i="2"/>
  <c r="A101" i="1"/>
  <c r="A115" i="1"/>
  <c r="A108" i="1"/>
  <c r="A119" i="1"/>
  <c r="A114" i="1"/>
  <c r="A117" i="1"/>
  <c r="A116" i="1"/>
  <c r="A23" i="1"/>
  <c r="A86" i="1"/>
  <c r="A51" i="1"/>
  <c r="A44" i="1"/>
  <c r="A72" i="1"/>
  <c r="H12" i="2"/>
  <c r="H13" i="2"/>
  <c r="A103" i="1"/>
  <c r="A61" i="1"/>
  <c r="F2" i="2"/>
  <c r="H2" i="2"/>
  <c r="A58" i="1"/>
  <c r="A33" i="1"/>
  <c r="A65" i="1"/>
  <c r="F4" i="2"/>
  <c r="H4" i="2"/>
  <c r="A69" i="1"/>
  <c r="A77" i="1"/>
  <c r="F7" i="2"/>
  <c r="H7" i="2"/>
  <c r="A104" i="1"/>
  <c r="A84" i="1"/>
  <c r="A63" i="1"/>
  <c r="A79" i="1"/>
  <c r="A36" i="1"/>
  <c r="A32" i="1"/>
  <c r="A76" i="1"/>
  <c r="A105" i="1"/>
  <c r="A71" i="1"/>
  <c r="A7" i="1"/>
  <c r="A64" i="1"/>
  <c r="A12" i="1"/>
  <c r="A10" i="1"/>
  <c r="A9" i="1"/>
  <c r="A85" i="1"/>
  <c r="A38" i="1"/>
  <c r="A99" i="1"/>
  <c r="A82" i="1"/>
  <c r="A52" i="1"/>
  <c r="A59" i="1"/>
  <c r="A20" i="1"/>
  <c r="A68" i="1"/>
  <c r="A29" i="1"/>
  <c r="A16" i="1"/>
  <c r="A54" i="1"/>
  <c r="A107" i="1"/>
  <c r="A48" i="1"/>
  <c r="A92" i="1"/>
  <c r="A95" i="1"/>
  <c r="A39" i="1"/>
  <c r="A66" i="1"/>
  <c r="A75" i="1"/>
  <c r="A67" i="1"/>
  <c r="A94" i="1"/>
  <c r="A97" i="1"/>
  <c r="A87" i="1"/>
  <c r="A46" i="1"/>
  <c r="A70" i="1"/>
  <c r="A90" i="1"/>
  <c r="H8" i="2"/>
  <c r="H5" i="2"/>
  <c r="A11" i="1"/>
  <c r="F5" i="2"/>
  <c r="A102" i="1"/>
  <c r="F8" i="2"/>
  <c r="A57" i="1"/>
  <c r="G17" i="2" l="1" a="1"/>
  <c r="G23" i="2" a="1"/>
  <c r="H14" i="2"/>
  <c r="H9" i="2"/>
  <c r="C43" i="2"/>
  <c r="D42" i="2" s="1"/>
  <c r="D5" i="2" l="1"/>
  <c r="D35" i="2"/>
  <c r="D40" i="2"/>
  <c r="D20" i="2"/>
  <c r="D21" i="2"/>
  <c r="D19" i="2"/>
  <c r="D3" i="2"/>
  <c r="D17" i="2"/>
  <c r="D18" i="2"/>
  <c r="D15" i="2"/>
  <c r="D16" i="2"/>
  <c r="D13" i="2"/>
  <c r="D14" i="2"/>
  <c r="D11" i="2"/>
  <c r="D12" i="2"/>
  <c r="D9" i="2"/>
  <c r="H20" i="2"/>
  <c r="I17" i="2"/>
  <c r="I19" i="2"/>
  <c r="I18" i="2"/>
  <c r="H26" i="2"/>
  <c r="I25" i="2"/>
  <c r="I24" i="2"/>
  <c r="I23" i="2"/>
  <c r="I13" i="2"/>
  <c r="I12" i="2"/>
  <c r="I3" i="2"/>
  <c r="I7" i="2"/>
  <c r="I6" i="2"/>
  <c r="I2" i="2"/>
  <c r="I8" i="2"/>
  <c r="I4" i="2"/>
  <c r="I5" i="2"/>
  <c r="D39" i="2"/>
  <c r="D38" i="2"/>
  <c r="D37" i="2"/>
  <c r="D41" i="2"/>
  <c r="D34" i="2"/>
  <c r="D28" i="2"/>
  <c r="D26" i="2"/>
  <c r="D24" i="2"/>
  <c r="D22" i="2"/>
  <c r="D36" i="2"/>
  <c r="D32" i="2"/>
  <c r="D10" i="2"/>
  <c r="D7" i="2"/>
  <c r="D8" i="2"/>
  <c r="D4" i="2"/>
  <c r="D6" i="2"/>
  <c r="D2" i="2"/>
  <c r="D31" i="2"/>
  <c r="D29" i="2"/>
  <c r="D33" i="2"/>
  <c r="D27" i="2"/>
  <c r="D25" i="2"/>
  <c r="D23" i="2"/>
  <c r="D30" i="2"/>
  <c r="D4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<sst xmlns="http://schemas.openxmlformats.org/spreadsheetml/2006/main" count="1292" uniqueCount="530">
  <si>
    <t>ت.</t>
  </si>
  <si>
    <t>رقم الخدمة</t>
  </si>
  <si>
    <t>اسم الخدمة</t>
  </si>
  <si>
    <t>نوع الجهة</t>
  </si>
  <si>
    <t>جهة الخدمة</t>
  </si>
  <si>
    <t>عدد الخدمات</t>
  </si>
  <si>
    <t>النسبة المئوية</t>
  </si>
  <si>
    <t>وزارة</t>
  </si>
  <si>
    <t>التقديم على قطع اراضي محافظة واسط</t>
  </si>
  <si>
    <t>محافظة واسط</t>
  </si>
  <si>
    <t>محافظة</t>
  </si>
  <si>
    <t>نقل الاثاث من و الى محافظة ديالى</t>
  </si>
  <si>
    <t>محافظة ديالى</t>
  </si>
  <si>
    <t>اسم الجهة</t>
  </si>
  <si>
    <t>الهوية التعريفية وتسهيل مهمة الدخول الى المدينة القديمة - محافظة النجف الاشرف</t>
  </si>
  <si>
    <t>محافظة النجف الاشرف</t>
  </si>
  <si>
    <t>المجموع</t>
  </si>
  <si>
    <t>تشغيل الباحثين عن العمل - محافظة ميسان</t>
  </si>
  <si>
    <t>محافظة ميسان</t>
  </si>
  <si>
    <t>تجهيز مربي حيوانات المزرعة بالأعلاف الحيوانية– محافظة كربلاء</t>
  </si>
  <si>
    <t>محافظة كربلاء المقدسة</t>
  </si>
  <si>
    <t>اصدار هويات تعريفيه خاصة بمحافظة بغداد</t>
  </si>
  <si>
    <t>محافظة بغداد</t>
  </si>
  <si>
    <t>تقييم احتياجات النساء المعيلات في مناطق العودة</t>
  </si>
  <si>
    <t>وزارة الهجرة والمهجرين</t>
  </si>
  <si>
    <t>الإبلاغ عن حدوث انتهاك حقوق الانسان</t>
  </si>
  <si>
    <t>تقييم البرامج الإغاثية المقدمة للأقليات</t>
  </si>
  <si>
    <t>تقييم الدعم المقدم للأقليات</t>
  </si>
  <si>
    <t>استبيان تقييم المشاريع المدرة للدخل</t>
  </si>
  <si>
    <t>استمارة تقييم مدى أثر حملة التوعية الإعلامية للحد من الهجرة غير الشرعية</t>
  </si>
  <si>
    <t>نافذة شؤون ذوي الاعاقة لفئات عناية وزارة الهجرة والمهجرين</t>
  </si>
  <si>
    <t>منصة ابداع لموظفي وزارة الهجرة والمهجرين</t>
  </si>
  <si>
    <t>نازحو عشوائيات بزيبز.. نحو حلول مستدامة وعودة آمنة ومستقرة</t>
  </si>
  <si>
    <t>نظام الحجز الالكتروني</t>
  </si>
  <si>
    <t>استمارة التقديم على مبادرة الريادة والتميز - الدراسة الاكادمية (المرحلة الاعدادية )</t>
  </si>
  <si>
    <t>وزارة التربية والتعليم</t>
  </si>
  <si>
    <t>منح وتجديد الاجازات للمؤسسات التربوية الاهلية</t>
  </si>
  <si>
    <t>استمارة نقل التلاميذ والطلبة</t>
  </si>
  <si>
    <t>استمارة ترجمة الوثائق</t>
  </si>
  <si>
    <t>استبانة قياس النزاهة</t>
  </si>
  <si>
    <t>خدمة اجازة الفران</t>
  </si>
  <si>
    <t>وزارة التجارة</t>
  </si>
  <si>
    <t>الحصول على الدعم المالي للمواد المصدرة من قبل القطاع الخاص- معززة بالدفع الالكتروني</t>
  </si>
  <si>
    <t>وزارة التخطيط</t>
  </si>
  <si>
    <t>استمارة التقديم على الدور اللائقة للفقراء ضمن مشاريع استراتيجية التخفيف من الفقر</t>
  </si>
  <si>
    <t>خدمة المواجهة الالكترونية لدائرة اصلاح الاحداث</t>
  </si>
  <si>
    <t>وزارة العدل</t>
  </si>
  <si>
    <t>طلب الوكالات في دائرة كتاب العدول</t>
  </si>
  <si>
    <t>تقديم طلبات المقابلات - مديرية الشكاوى - وزارة الداخلية</t>
  </si>
  <si>
    <t>وزارة الداخلية</t>
  </si>
  <si>
    <t>الحصول على شهادة عدم المحكومية (داخلية او خارجية)</t>
  </si>
  <si>
    <t>منصة فحص الوافدين (فحص العوز المناعي)</t>
  </si>
  <si>
    <t>وزارة الصحة</t>
  </si>
  <si>
    <t>اللجان الطبية لفحص السياقة</t>
  </si>
  <si>
    <t>الدورة التأهيلية لخريجي كلية الصيدلة والعلوم</t>
  </si>
  <si>
    <t>إيصال التيار الكهربائي للدور السكنية بقدرة  اقل من 50 كيلو واط</t>
  </si>
  <si>
    <t>وزارة الكهرباء</t>
  </si>
  <si>
    <t>استبانة مدراء تكنولوجيا المعلومات و الاتصالات</t>
  </si>
  <si>
    <t>وزارة الثقافة</t>
  </si>
  <si>
    <t>المشاكل والملاحظات حول عمل انظمة (SIS &amp; HR) في وزارة التعليم العالي وتشكيلاتها</t>
  </si>
  <si>
    <t>وزارة التعليم العالي والبحث العلمي</t>
  </si>
  <si>
    <t>حجز المنشأت الرياضية في بغداد والمحافظات</t>
  </si>
  <si>
    <t>وزارة الشباب والرياضة</t>
  </si>
  <si>
    <t>ديوان التأمين /خدمة عدم ممانعة لمنح اجازة ممارسة اعمال التأمين والمهن المرتبطة بها</t>
  </si>
  <si>
    <t>وزارة المالية</t>
  </si>
  <si>
    <t>تسجيل وادارة مشتركي FTTH</t>
  </si>
  <si>
    <t>وزارة الاتصالات</t>
  </si>
  <si>
    <t>متطلبات التأهيل المسبق للشركات - call off</t>
  </si>
  <si>
    <t>وزارة النفط</t>
  </si>
  <si>
    <t>استمارة تقديم على صندوق الإسكان 2025</t>
  </si>
  <si>
    <t>وزارة الاعمار والإسكان والبلديات العامة</t>
  </si>
  <si>
    <t>الاشتراك في برامج التدريب والتطوير-  هيئة الطاقة الذرية العراقية</t>
  </si>
  <si>
    <t>هيئة الطاقة الذرية العراقية</t>
  </si>
  <si>
    <t>هيئة</t>
  </si>
  <si>
    <t>العمل بصفة متعهد لموسم الحج (1447 هـ.)</t>
  </si>
  <si>
    <t>تسجيل اندماج الشركات لدى مجلس شؤون المنافسة ومنع الاحتكار</t>
  </si>
  <si>
    <t>مجلس شؤون المنافسة ومنع الاحتكار</t>
  </si>
  <si>
    <t>مجلس</t>
  </si>
  <si>
    <t>اعتماد خطة الطوارئ الموقعية - I-NRC-ER-ED.001.01</t>
  </si>
  <si>
    <t>الهيئة الوطنية للرقابة النووية والاشعاعية والكيميائية والبايولوجية</t>
  </si>
  <si>
    <t>استطلاع توقيتات الدوام الحالية في الجامعات الحكومية و الاهلية في بغداد</t>
  </si>
  <si>
    <t>هيئة المستشارين</t>
  </si>
  <si>
    <t>بوابة الطالب الرقمية (27خدمة) (كلية الامام الكاظم (ع) للعلوم الاسلامية الجامعة)</t>
  </si>
  <si>
    <t>الأوقاف</t>
  </si>
  <si>
    <t>ديوان الوقف الشيعي</t>
  </si>
  <si>
    <t>الاستعلامات الالكترونية- وزارة الداخلية</t>
  </si>
  <si>
    <t>الاستعلامات الإلكترونية– وزارة العدل</t>
  </si>
  <si>
    <t>نوع العمل</t>
  </si>
  <si>
    <t>كود</t>
  </si>
  <si>
    <t>تصميم وكود</t>
  </si>
  <si>
    <t>ت</t>
  </si>
  <si>
    <t>خدمة تأييد استمرارية (وزارة الهجرة و المهجرين)</t>
  </si>
  <si>
    <t>الشكوى والاستعلام لدى مجلس شؤون المنافسة ومنع الاحتكار</t>
  </si>
  <si>
    <t>الاشتراك في الدورات التدريبية التابعة للدار العراقية للأزياء</t>
  </si>
  <si>
    <t>نقل الأثاث من وإلى محافظة البصرة</t>
  </si>
  <si>
    <t>محافظة البصرة</t>
  </si>
  <si>
    <t>منصة الخدمات الاستشارية</t>
  </si>
  <si>
    <t>النصب او الاشراف على تنفيذ منظومات الغاز السائل لمواقع المستهلكين</t>
  </si>
  <si>
    <t>استمارة تقديم على معهد الحرف والفنون الشعبية 2025-2026</t>
  </si>
  <si>
    <t>استمارة تقديم على معهد الدراسات الموسيقية 2026-2027</t>
  </si>
  <si>
    <t>استطلاع حول المشاركة في الانتخابات البرلمانية القادمة 2025</t>
  </si>
  <si>
    <t>استبيان فريق التنمية البشرية -مسح حكومي حول تصور الاتجاهات الكبرى للتنمية البشرية</t>
  </si>
  <si>
    <t>النظام الالكتروني للفحص الطبي للمرشحين بأداء مناسك الحج لموسم 2026-1447هـ</t>
  </si>
  <si>
    <t>طلب وثيقة من المركز الوطني للوثائق</t>
  </si>
  <si>
    <t>مؤسسة السجناء السياسيين</t>
  </si>
  <si>
    <t>مؤسسة</t>
  </si>
  <si>
    <t>خدمة التقديم على قطعة ارض للجرحى ولذوي الشهداء</t>
  </si>
  <si>
    <t>وزارة الدفاع</t>
  </si>
  <si>
    <t>صندوق شكاوى المواطنين</t>
  </si>
  <si>
    <t>خدمة الدعم الصحي - لموظفي وزارة الهجرة والمهجرين</t>
  </si>
  <si>
    <t>الحصول على برائة ذمة اشتراك الماء</t>
  </si>
  <si>
    <t>فتح اشتراك ماء لدى مديريات الماء في المحافظات</t>
  </si>
  <si>
    <t>نظام المكاتب الاستشارية</t>
  </si>
  <si>
    <t>التقديم على معاهد التدريب النفطي (بغداد- بصرة -كركوك- بيجي- ميسان)لسنه 2025-2026</t>
  </si>
  <si>
    <t>خدمة نقل آثاث الى محافظة صلاح الدين</t>
  </si>
  <si>
    <t>محافظة صلاح الدين</t>
  </si>
  <si>
    <t>استمارة التقديم الالكتروني لمباردة رواد التميز</t>
  </si>
  <si>
    <t>التسجيل لشراء سيارة لذوي الاحتياجات الخاصة</t>
  </si>
  <si>
    <t>توزيع قطع اراضي للموظفين - الصحفيين - ذوي الاحتياجات / بابل</t>
  </si>
  <si>
    <t>محافظة بابل</t>
  </si>
  <si>
    <t>استمارة الابلاغ عن حالات التعنيف للنساء النازحات والعائدات من النزوح</t>
  </si>
  <si>
    <t>تغير اسم المشترك او بدل ضائع سكني ( تجاري او حكومي ) - مديرية ماء كربلاء المقدسة</t>
  </si>
  <si>
    <t>تغيير اسم مشترك لدى مديريات الماء في المحافظات</t>
  </si>
  <si>
    <t>الخدمات الالكترونية للعراقين قي الخارج</t>
  </si>
  <si>
    <t>استمارة بيانات إصدار الهويات للأساتذة والموظفين في الكلية التربوية المفتوحة</t>
  </si>
  <si>
    <t>استمارة طلب استضافة تشاركية</t>
  </si>
  <si>
    <t>بيع فضاء الرصيف - مديرية بلدية كربلاء المقدسة</t>
  </si>
  <si>
    <t>خدمة تأسيس تدريبية (مبادرة ريادة)</t>
  </si>
  <si>
    <t>دور واطئة الكلفة - محافظة ذي قار</t>
  </si>
  <si>
    <t>محافظة ذي قار</t>
  </si>
  <si>
    <t>فتح اضبارة احكام تنفيذية - معززة بالدفع الالكتروني</t>
  </si>
  <si>
    <t>خدمة تسجيل النساء العائدات المعيلات لاسرهن من فئات العناية</t>
  </si>
  <si>
    <t>مبادرة السجل الموحد - استبانة تحليل متطلبات</t>
  </si>
  <si>
    <t>المركز الوطني للتحول الرقمي</t>
  </si>
  <si>
    <t>المركز</t>
  </si>
  <si>
    <t>تاشير ذوي الشهداء من منتسبي وزارة الدفاع</t>
  </si>
  <si>
    <t>تحديث بيانات الحصة الوقودية للنفط الابيض - محافظة كركوك</t>
  </si>
  <si>
    <t>الحصول على كتب رسمية تخص قرارات التسوية والتوزيع والاستيلاء في جريدة الوقائع العراقية</t>
  </si>
  <si>
    <t>الابلاغ عن الاتجار بالبشر</t>
  </si>
  <si>
    <t>طلب اجازة استيراد واعادة تصدير مصادر مشعة I-NRC-RG- TR-001.02</t>
  </si>
  <si>
    <t>طلب اجازة حيازة واستخدام مصادر مشعة للممارسات الصناعية I-NRC-RG-IE-001.02</t>
  </si>
  <si>
    <t>إجازة حيازة واستخدام مصادر مشعة للممارسات الطبية (العلاج الاشعاعي والطب النووي) I-NRC-RG-LI-004.05</t>
  </si>
  <si>
    <t>طلب اجازة انتاج النظائر المشعة باستخدام السايكلترون I-NRC-RG-LI-004.06</t>
  </si>
  <si>
    <t>التقديم للحصول على إجازة مخزن مصادر مشعة للممارسات (الصناعية، الطبية، البحثية والتعليمية) I-NRC-RG-LI- 004.07</t>
  </si>
  <si>
    <t>طلب إجازة حيازة واستخدام مصادر مشعة للممارسات التعليمية والبحثية - I-NRC-RG-IE-004.01</t>
  </si>
  <si>
    <t>التقديم للحصول على إجازة نقل مصادر مشعة I-NRC-RG-TR-001.01</t>
  </si>
  <si>
    <t>تأجير أملاك البلدية في محافظة النجف الأشرف</t>
  </si>
  <si>
    <t>الدورات التدربية للموظفين</t>
  </si>
  <si>
    <t>اكمال بيانات الجرحى في مؤسسة الشهداء</t>
  </si>
  <si>
    <t>طلب منح إجازة مشروع صناعي تحت التأسيس لدى المديرية العامة للتنمية الصناعية- معززة بالدفع الالكتروني</t>
  </si>
  <si>
    <t>وزارة الصناعة والمعادن</t>
  </si>
  <si>
    <t>حجز قاعة التشريفات VIP - الشركة العامة للمعارض والخدمات التجارية العراقية</t>
  </si>
  <si>
    <t>إستمارة طلب أجازة مسؤول الوقاية من الإشعاع I-NRC-IN-RPO-001.04</t>
  </si>
  <si>
    <t>التقديم للعمل في الوحدات الصحية الخاصة بالمدارس الاهلية</t>
  </si>
  <si>
    <t>التقديم الالكتروني للمشاركة في الدورات التدريبية التي يقيمها المركز الوطني للتطوير الإداري وتقنية المعلومات – معززة بالدفع الإلكتروني</t>
  </si>
  <si>
    <t>اجازة بناء لمحافظة بغداد</t>
  </si>
  <si>
    <t>اسم الملف</t>
  </si>
  <si>
    <t>طلب استضافة</t>
  </si>
  <si>
    <t>مبادرة السجل الموحد</t>
  </si>
  <si>
    <t>اعتماد خطة الطوارئ</t>
  </si>
  <si>
    <t>طلب اجازة تملك واستخدام مولدات الاشعة السينية(الثابتة والمتحركة) للاغراض الصناعية والامنية</t>
  </si>
  <si>
    <t>رخصة فتح عيادة أشعة تشخيصية I-NRC-RG-LI-003.08- معززة بالدفع الالكتروني</t>
  </si>
  <si>
    <t>رخصة فتح عيادة</t>
  </si>
  <si>
    <t>بوابة الطالب الرقمية</t>
  </si>
  <si>
    <t>الشكوى والاستعلام</t>
  </si>
  <si>
    <t>دمج الشركات</t>
  </si>
  <si>
    <t>نقل اثاث البصرة</t>
  </si>
  <si>
    <t>باج الدخول للمدينة القديمة</t>
  </si>
  <si>
    <t>أملاك البلدية</t>
  </si>
  <si>
    <t>قطع أراضي بابل</t>
  </si>
  <si>
    <t>هويات تعريفية بغداد</t>
  </si>
  <si>
    <t>إجازة بناء بغداد</t>
  </si>
  <si>
    <t>نقل اثاث ديالى</t>
  </si>
  <si>
    <t>دور واطئة التكلفة ذي قار</t>
  </si>
  <si>
    <t>نقل اثاث صلاح الدين</t>
  </si>
  <si>
    <t>تجهيز  العلف الحيواني</t>
  </si>
  <si>
    <t>تغيير اسم مشترك كربلاء</t>
  </si>
  <si>
    <t>بيع فضاء الطريق</t>
  </si>
  <si>
    <t>تشغيل الباحثين</t>
  </si>
  <si>
    <t>قطع أراضي واسط</t>
  </si>
  <si>
    <t>المركز الوطني للوثائق</t>
  </si>
  <si>
    <t>متعهد موسم الحج</t>
  </si>
  <si>
    <t>الفحص الطبي للمرشحين</t>
  </si>
  <si>
    <t>التدريب والتطوير</t>
  </si>
  <si>
    <t>الاستطلاع</t>
  </si>
  <si>
    <t>المشاركة في الانتخابات</t>
  </si>
  <si>
    <t>FTTH</t>
  </si>
  <si>
    <t>إجازة بناء</t>
  </si>
  <si>
    <t>صندوق الإسكان</t>
  </si>
  <si>
    <t>فتح اشتراك ماء</t>
  </si>
  <si>
    <t>تغيير اسم مشترك</t>
  </si>
  <si>
    <t>براءة ذمة الماء</t>
  </si>
  <si>
    <t>خدمة إجازة الفران</t>
  </si>
  <si>
    <t>تسجيل على السيارات ذوي الإعاقة</t>
  </si>
  <si>
    <t>صندوق دعم التصدير</t>
  </si>
  <si>
    <t>قاعة تشريفات VIP</t>
  </si>
  <si>
    <t>مبادرة ريادة</t>
  </si>
  <si>
    <t>ترشيح الدورات التدريبية</t>
  </si>
  <si>
    <t>دور واطئة التكلفة</t>
  </si>
  <si>
    <t>نقل طلاب وتلاميذ</t>
  </si>
  <si>
    <t>ترجمة الوثائق</t>
  </si>
  <si>
    <t>منح وتجديد الاجازات</t>
  </si>
  <si>
    <t>هويات أساتذة وموظفين</t>
  </si>
  <si>
    <t>مبادرة الريادة والتميز</t>
  </si>
  <si>
    <t>فريق التنمية البشرية</t>
  </si>
  <si>
    <t>الوحدات الصحية للاهليات</t>
  </si>
  <si>
    <t>الحصول على وثيقة او تأييد تخرج لخريجي الكلية التربوية المفتوحة</t>
  </si>
  <si>
    <t>الكلية التربوية المفتوحة</t>
  </si>
  <si>
    <t>استمارة نظام إدارة المعلومات التعليمي (EMIS) – محافظة ميسان</t>
  </si>
  <si>
    <t>نظام إدارة المعلومات</t>
  </si>
  <si>
    <t>استبيان الجامعات</t>
  </si>
  <si>
    <t>استبانة مدراء التكنولوجيا</t>
  </si>
  <si>
    <t>استمارة تقديم على روضة دار السلام 2025-2026</t>
  </si>
  <si>
    <t>تقديم على روضة 2025-2026</t>
  </si>
  <si>
    <t>جريدة الوقائع العراقية</t>
  </si>
  <si>
    <t>دورات تدريبية دار أزياء</t>
  </si>
  <si>
    <t>معهد الدراسات الموسيقية</t>
  </si>
  <si>
    <t>معهد الحرف والفنون</t>
  </si>
  <si>
    <t>استعلامات الداخلية</t>
  </si>
  <si>
    <t>الاتجار بالبشر</t>
  </si>
  <si>
    <t>الداخلية خدمة الشكاوي</t>
  </si>
  <si>
    <t>عدم محكومية</t>
  </si>
  <si>
    <t>قطع أراضي جرحى وشهداء</t>
  </si>
  <si>
    <t>تاشير ذوي الشهداء</t>
  </si>
  <si>
    <t>بيانات الجرحى</t>
  </si>
  <si>
    <t>حجز منشات رياضية</t>
  </si>
  <si>
    <t>العوز المناعي</t>
  </si>
  <si>
    <t>الفحص الطبي</t>
  </si>
  <si>
    <t>الدورة التاهيلية</t>
  </si>
  <si>
    <t>استعلامات العدل</t>
  </si>
  <si>
    <t>المواجهة الالكترونية</t>
  </si>
  <si>
    <t>خدمة طلب الوكالات</t>
  </si>
  <si>
    <t>فتح اضبارة</t>
  </si>
  <si>
    <t>طلب فتح بيان شخصي- الكترونياً</t>
  </si>
  <si>
    <t>فتح بيان شخصي</t>
  </si>
  <si>
    <t>فتح بيان عقار- إلكترونياً</t>
  </si>
  <si>
    <t>فتح بيان عقار</t>
  </si>
  <si>
    <t>إيصال تيار كهربائي</t>
  </si>
  <si>
    <t>اعمال التامين</t>
  </si>
  <si>
    <t>call off service</t>
  </si>
  <si>
    <t>النصب او الاشراف الغاز السائل</t>
  </si>
  <si>
    <t>بيانات الحصة الوقودية</t>
  </si>
  <si>
    <t>دورات تدريب الاستكشافات</t>
  </si>
  <si>
    <t>مبادرة رواد التميز</t>
  </si>
  <si>
    <t>معاهد التدريب النفطي</t>
  </si>
  <si>
    <t>احتياجات النساء المعيلات</t>
  </si>
  <si>
    <t>تقديم الاستشارات للمواطنين العائدين من الهجرة خارج العراق</t>
  </si>
  <si>
    <t>استشارات العائدين</t>
  </si>
  <si>
    <t>التواصل والاستشارات للخارجين</t>
  </si>
  <si>
    <t>الدعم الصحي</t>
  </si>
  <si>
    <t>التواصل مع الكفاءات العراقية في خارج العراق</t>
  </si>
  <si>
    <t>الكفاءات العراقية</t>
  </si>
  <si>
    <t>النساء العائدات المعيلات</t>
  </si>
  <si>
    <t>انتهاك حقوق الانسان</t>
  </si>
  <si>
    <t>تاييد استمرارية الموظفين</t>
  </si>
  <si>
    <t>تقديم طلب الاشتراك في الدورات التدريبية لموظفي وزارة الهجرة والمهجرين الكترونياً</t>
  </si>
  <si>
    <t>تدريب الموظفين</t>
  </si>
  <si>
    <t>تقييم البرامج الاغاثية</t>
  </si>
  <si>
    <t>تقييم الدعم للاقليات</t>
  </si>
  <si>
    <t>تقييم المشاريع المدرة للدخل</t>
  </si>
  <si>
    <t>تقييم مدى اثر حملة التوعية</t>
  </si>
  <si>
    <t>حالات التعنيف للنساء</t>
  </si>
  <si>
    <t>شؤون ذوي الإعاقة</t>
  </si>
  <si>
    <t>شكاوي المواطنين</t>
  </si>
  <si>
    <t>منصة ابداع</t>
  </si>
  <si>
    <t>نازحو عشوائيات بزيبز</t>
  </si>
  <si>
    <t>بوابة الدراسات العليا الرقمية (19 خدمة) (كلية الامام الكاظم ع)</t>
  </si>
  <si>
    <t>بوابة الدراسات العليا</t>
  </si>
  <si>
    <t>استمارة طلب تخويل استيراد للأجهزة المولدة للأشعاع</t>
  </si>
  <si>
    <t>حجز شاشة المسرح الوطني</t>
  </si>
  <si>
    <t>حجز شاشة</t>
  </si>
  <si>
    <t>تأييد صحة صدور بطاقة تسجيل الصهاريج الناقلة للمشتقات النفطية الكترونياً (التكييل) - معززة بالدفع الالكتروني</t>
  </si>
  <si>
    <t>التكييل</t>
  </si>
  <si>
    <t>استمارة التقديم على قطع الأراضي السكنية – تربية صلاح الدين</t>
  </si>
  <si>
    <t>قطع أراضي سكنية</t>
  </si>
  <si>
    <t>طلب تخويل لممارسة النشاط البيولوجي الخاضع للرقابة</t>
  </si>
  <si>
    <t>التقديم للشمول بقانون المؤسسة للمحتجزين خارج العراق</t>
  </si>
  <si>
    <t>سجناء خارج العراق</t>
  </si>
  <si>
    <t>اجازات البناء/بلدية الرميثة</t>
  </si>
  <si>
    <t>اجازات بناء رميثه</t>
  </si>
  <si>
    <t>الاستمارة الإلكترونية لتسجيل بيانات حملة الشهادات العليا – المديرية العامة لتربية ديالى</t>
  </si>
  <si>
    <t>شهادات عليا ديالى</t>
  </si>
  <si>
    <t>استمارة اعرف زبونك لبرنامج الشباب للدفع الالكتروني- تربية محافظة واسط</t>
  </si>
  <si>
    <t>اعرف زبونك</t>
  </si>
  <si>
    <t>منح إجازة للمؤسسات التربوية الاهلية لفتح الاعداديات المهنية</t>
  </si>
  <si>
    <t>فتح اعداديات مهنية</t>
  </si>
  <si>
    <t>شكاوى المواطنين حول الوكلاء</t>
  </si>
  <si>
    <t>شكاوي عن الوكلاء</t>
  </si>
  <si>
    <t>فريق زهرة عراقية لشؤون المرأة</t>
  </si>
  <si>
    <t>فريق زهرة</t>
  </si>
  <si>
    <t>التقديم الالكتروني على خدمة تحويل البطل الى رائد</t>
  </si>
  <si>
    <t>بطل الى رائد</t>
  </si>
  <si>
    <t>التقديم للشمول بقانون المؤسسة للصفات ( سجين - معتقل - محكوم غيابي )</t>
  </si>
  <si>
    <t>الشمول بالمؤسسة</t>
  </si>
  <si>
    <t>إجازة بناء - محافظة الديوانية</t>
  </si>
  <si>
    <t>الإبلاغ عن المشاكل في الحدائق والمتنزهات - محافظة ديالى</t>
  </si>
  <si>
    <t>حدائق ومتنزهات</t>
  </si>
  <si>
    <t>التقديم الإلكتروني للشكاوى العامة في بلدية بعقوبة - محافظة ديالى</t>
  </si>
  <si>
    <t>شكاوي بعقوبة</t>
  </si>
  <si>
    <t>التقديم على قطعة ارض من المهجرين والمهاجرين</t>
  </si>
  <si>
    <t>قطعة ارض</t>
  </si>
  <si>
    <t>الاستعلامات الالكترونية -وزارة النفط</t>
  </si>
  <si>
    <t>استعلامات نفط</t>
  </si>
  <si>
    <t>منصة وطنية رقمية للتدريب والتقييم القيادي</t>
  </si>
  <si>
    <t>تقييم قيادي</t>
  </si>
  <si>
    <t>تقديم طلب إلكتروني لمنح وتجديد اجازة ممارسة مهنة الصياغة</t>
  </si>
  <si>
    <t>مهنة الصياغة</t>
  </si>
  <si>
    <t>تقديم طلب الكتروني للحصول على شتلات ومغروسات في محافظة النجف الاشرف</t>
  </si>
  <si>
    <t>شتلات ومغروسات</t>
  </si>
  <si>
    <t>خدمات مديرية ماء النجف الاشرف</t>
  </si>
  <si>
    <t>مديرية الماء</t>
  </si>
  <si>
    <t>طلب سند وخارطة للعقار- إلكترونياً</t>
  </si>
  <si>
    <t>سند وخارطة</t>
  </si>
  <si>
    <t>تقديم طلب إلكتروني لنقل الأثاث من وإلى محافظة الانبار</t>
  </si>
  <si>
    <t>محافظة الانبار</t>
  </si>
  <si>
    <t>نقل اثاث الانبار</t>
  </si>
  <si>
    <t>التقديم على وظائف الشركات النفطية في محافظة واسط</t>
  </si>
  <si>
    <t>شركات نفطية واسط</t>
  </si>
  <si>
    <t>التقديم على فرصة استثمارية في محافظة النجف الأشرف</t>
  </si>
  <si>
    <t>فرصة استثمارية</t>
  </si>
  <si>
    <t>خدمة تتبع الطلبات والمعاملات 2024-1446هـ</t>
  </si>
  <si>
    <t>تتبع طلبات</t>
  </si>
  <si>
    <t>اجازات البناء في المحافظات</t>
  </si>
  <si>
    <t>اجازات بناء محافظات</t>
  </si>
  <si>
    <t>التقديم الالكتروني للحصول على موافقة إكمال تأسيس مشروع صناعي من المديرية العامة للتنمية الصناعية - معززة بالدفع الإلكتروني</t>
  </si>
  <si>
    <t>التقديم الإلكتروني للحصول على توصية بتخصيص قطعة ارض صناعية لدى المديرية العامة للتنمية الصناعية - معزز بالدفع الإلكتروني</t>
  </si>
  <si>
    <t>استمارة معلومات الموظفين الراغبين بالتكليف في المديرية العامة للتقويم والامتحانات</t>
  </si>
  <si>
    <t>الراغبين بالتكليف</t>
  </si>
  <si>
    <t>استبدال مضخة ديزل الى مضخة كهرباء</t>
  </si>
  <si>
    <t>وزارة الموارد المائية</t>
  </si>
  <si>
    <t>استبدال مضخة</t>
  </si>
  <si>
    <t>تبليط الطرق على محرمات القنوات والمبازل</t>
  </si>
  <si>
    <t>تبليط طرق</t>
  </si>
  <si>
    <t>الاستعلام الالكترونية - وزارة النقل</t>
  </si>
  <si>
    <t>وزارة النقل</t>
  </si>
  <si>
    <t>استعلامات النقل</t>
  </si>
  <si>
    <t>خدمة التقديم للحصول على تأييد لتخصيص قطع أراضي لهيئة الحشد الشعبي في النجف الأشرف</t>
  </si>
  <si>
    <t>توزيع أراضي للحشد</t>
  </si>
  <si>
    <t>تجديد الاجازات للمؤسسات التربوية الاهلية للاعداديات المهنية</t>
  </si>
  <si>
    <t>تجديد اجازات مهنية</t>
  </si>
  <si>
    <t>استمارة طلب اجازة تخويل لممارسة النشاط الكيميائي الخاضع للرقابة</t>
  </si>
  <si>
    <t>استمارة تخويل نقل مواد ومعدات كيميائية مزدوجة الاستخدام خاضعة للرقابة</t>
  </si>
  <si>
    <t>إستمارة طلب اجازة تشغيل منشأة المعجلات الخطية</t>
  </si>
  <si>
    <t>استمارة المعلومات الخاصة بتسجيل الشركات</t>
  </si>
  <si>
    <t>تسجيل الشركات</t>
  </si>
  <si>
    <t>الاثر المالي لضغط النفقات</t>
  </si>
  <si>
    <t>ضغط النفقات</t>
  </si>
  <si>
    <t>خدمات المركز الوطني لطب الاعشاب المعززة بالدفع الالكتروني</t>
  </si>
  <si>
    <t>طب اعشاب</t>
  </si>
  <si>
    <t>استمارة احتساب الضريبة</t>
  </si>
  <si>
    <t>احتساب الضريبة</t>
  </si>
  <si>
    <t>تقديم شكوى او بلاغ الكتروني عن الفساد المالي والاداري في دوائر محافظة النجف الاشرف</t>
  </si>
  <si>
    <t>شكوى او بلاغ</t>
  </si>
  <si>
    <t>تقديم طلب إلكتروني للحصول على الوثائق من كلية الامام الأعظم مترجمة الى اللغة الإنجليزية</t>
  </si>
  <si>
    <t>ديوان الوقف السني</t>
  </si>
  <si>
    <t>حصول على وثائق</t>
  </si>
  <si>
    <t>استبيان(تقييم اثر مشاريع التمكين الاقتصادي للنساء المعيلات)</t>
  </si>
  <si>
    <t>استبيان تقييم اثر</t>
  </si>
  <si>
    <t>تقرير المشاركة في البرامج التدريبية</t>
  </si>
  <si>
    <t>تقرير مشاركة</t>
  </si>
  <si>
    <t>تقديم طلب إلكتروني لغرض الإعفاء من أجور الصرف الصحي - مديرية مجاري كربلاء المقدسة</t>
  </si>
  <si>
    <t>أجور الصرف الصحي</t>
  </si>
  <si>
    <t>إضافة منظومة الغاز للسيارات</t>
  </si>
  <si>
    <t>غاز السيارات</t>
  </si>
  <si>
    <t>أستبيان (قياس مدى أستعداد التشكيلات للتحول الرقمي والعمل الالكتروني)</t>
  </si>
  <si>
    <t>قياس التحول الرقمي</t>
  </si>
  <si>
    <t>تقديم طلب إلكتروني للحصول على البيانات والمشورة البحثية لطلبة الدراسات الاولية والعليا</t>
  </si>
  <si>
    <t>وزارة العمل والشؤون الاجتماعية</t>
  </si>
  <si>
    <t>المشورة البحثية</t>
  </si>
  <si>
    <t>خدمة تزويد الباحثين و الدارسين بالوثائق و الخرائط التراثية</t>
  </si>
  <si>
    <t>وثائق وخرائط تراثية</t>
  </si>
  <si>
    <t>خدمة تزويد الباحثين و الدارسين بالصور الاثرية و التراثية</t>
  </si>
  <si>
    <t>صور اثريه وتراثية</t>
  </si>
  <si>
    <t>استمارة طلب تأييد عدم تعارض لغرض التقديم على الدراسات العليا داخل العراق</t>
  </si>
  <si>
    <t>تاييد دراسات عليا</t>
  </si>
  <si>
    <t>تقديم طلب إلكتروني لتنظيم المعاملات العقارية</t>
  </si>
  <si>
    <t>المعاملات العقارية</t>
  </si>
  <si>
    <t>الاستعلامات الإلكترونية - دائرة عقارات الدولة</t>
  </si>
  <si>
    <t>استعلامات عقارات دولة</t>
  </si>
  <si>
    <t>تحديد موعد مقابلة</t>
  </si>
  <si>
    <t>موعد مقابلة</t>
  </si>
  <si>
    <t>التسجيل المجدد لعقارات المواطنين الوقفية</t>
  </si>
  <si>
    <t>التسجيل المجدد</t>
  </si>
  <si>
    <t>تقديم طلب الكتروني للحصول على براءة الذمة لأصحاب مكاتب صرف البطاقة الذكية - مديرية بلدية كربلاء المقدسة</t>
  </si>
  <si>
    <t>البطاقة الذكية</t>
  </si>
  <si>
    <t>تقديم طلب الكتروني لإضافة مساحة لعقار مؤجر (للمعامل النسيجية والغذائية) - مديرية بلدية كربلاء المقدسة</t>
  </si>
  <si>
    <t>تقديم طلب الكتروني لإعادة النظر في مبلغ ايجار العقار المؤجر وفق (قانون 20 او قانون 21 او قانون 30) و ( قانون المساطحة المرقم 1521 لسنة 1981) وبيع (فضلة او فضاء)</t>
  </si>
  <si>
    <t>إعادة النظر</t>
  </si>
  <si>
    <t>تقديم طلب إلكتروني لتحويل مبلغ الامانات الى مبلغ إيجار للعقار المؤجر وفق قانون (21) نشاطات مختلفة - مديرية بلدية كربلاء المقدسة</t>
  </si>
  <si>
    <t>تحويل مبلغ امانات</t>
  </si>
  <si>
    <t>تقديم طلب الكتروني لتمديد فترة إيجار العقار المؤجر وفق قانون (21) - مديرية بلدية كربلاء المقدسة</t>
  </si>
  <si>
    <t>تمديد فترة</t>
  </si>
  <si>
    <t>إضافة مساحة</t>
  </si>
  <si>
    <t>تقديم طلب إلكتروني لرفع الحجز بسبب الديون المترتبة على المواطن او العقار (وفق قانون تحصيل الديون الحكومية 56 لسنة 1977) - مديرية بلدية كربلاء المقدسة</t>
  </si>
  <si>
    <t>رفع حجز</t>
  </si>
  <si>
    <t>تقديم طلب إلكتروني لإلغاء شكوى تخص مخلفات البناء والخدمات_مديرية بلدية كربلاء المقدسة</t>
  </si>
  <si>
    <t>الغاء شكوى</t>
  </si>
  <si>
    <t>تقديم طلب إلكتروني لاعادة المواد المحجوزة عن أراضي الدولة وفق القوانين النافذة_مديرية بلدية كربلاء المقدسة</t>
  </si>
  <si>
    <t>المواد المحجوزة</t>
  </si>
  <si>
    <t>تقديم طلب إلكتروني لشراء المساحة الزائدة الناتجة عن إفراز الطريق-مديرية بلدية كربلاء المقدسة</t>
  </si>
  <si>
    <t>المساحة الزائدة</t>
  </si>
  <si>
    <t>موافقات الاجازة الصحية في النجف</t>
  </si>
  <si>
    <t>الاجازة الصحية</t>
  </si>
  <si>
    <t>تقديم طلب إلكتروني للحصول على قروض المصرف الزراعي التعاوني</t>
  </si>
  <si>
    <t>المصرف الزراعي</t>
  </si>
  <si>
    <t>الاشتراك في الدورات التدريبية في قسم التدريب والتطوير المساحي</t>
  </si>
  <si>
    <t>تدريب وتطوير مساحي</t>
  </si>
  <si>
    <t>التشبيك الالكتروني</t>
  </si>
  <si>
    <t>تشبيك</t>
  </si>
  <si>
    <t>القياس الالكتروني</t>
  </si>
  <si>
    <t>القياس</t>
  </si>
  <si>
    <t>تجهيز وتقديم استشارات طلبة الدراسات العليا بالخرائط</t>
  </si>
  <si>
    <t>استشارات طلبة</t>
  </si>
  <si>
    <t>طبع فهارس الوحدات الادارية العامة وفهارس الاقضية والنواحي والمحافظات</t>
  </si>
  <si>
    <t>طبع فهارس</t>
  </si>
  <si>
    <t>تأشير البساتين</t>
  </si>
  <si>
    <t>تاشير بساتين</t>
  </si>
  <si>
    <t>مطابقة المرتسمات والخرائط</t>
  </si>
  <si>
    <t>مرتسمات وخرائط</t>
  </si>
  <si>
    <t>الريادة والتميز</t>
  </si>
  <si>
    <t>ريادة وتميز</t>
  </si>
  <si>
    <t>الطلبات الالكترونية- شؤون المواطنين - ديوان محافظة واسط</t>
  </si>
  <si>
    <t>شؤون المواطنين</t>
  </si>
  <si>
    <t>الاستمارة الإلكترونية لطلب نقل مؤسسة تربوية</t>
  </si>
  <si>
    <t>نقل مؤسسة</t>
  </si>
  <si>
    <t>استقبال الشكاوي والبلاغات الخاصة بموظفات وزارة العمل والشؤون الاجتماعية</t>
  </si>
  <si>
    <t>شكاوي وبلاغات</t>
  </si>
  <si>
    <t>خدمة تغير (رفع المستوى- حفض المستوى -طابع الدوام -جنس- شطر- اسم) للمؤسسات الاهلية</t>
  </si>
  <si>
    <t>تغيير مؤسسات</t>
  </si>
  <si>
    <t>العمل كمرشد/ة لموسم العمرة(1448 هـ)</t>
  </si>
  <si>
    <t>الهيئة العليا للحج والعمرة</t>
  </si>
  <si>
    <t>العمل كمرشد</t>
  </si>
  <si>
    <t>خدمة كسر قرار</t>
  </si>
  <si>
    <t>كسر قرار</t>
  </si>
  <si>
    <t>قاعدة بيانات مبادرة مليون قطعة ارض سكنية</t>
  </si>
  <si>
    <t>مليون قطعة</t>
  </si>
  <si>
    <t>تقديم طلب إلكتروني للحصول على ترخيص نقل بطاقة السكن من المحافظات الى محافظة النجف الاشرف</t>
  </si>
  <si>
    <t>نقل بطاقة سكن</t>
  </si>
  <si>
    <t>أستمارة متابعة العائدين من الخارج</t>
  </si>
  <si>
    <t>متابعة العائدين</t>
  </si>
  <si>
    <t>خدمة غلق المؤسسة التربوية</t>
  </si>
  <si>
    <t>غلق مؤسسة</t>
  </si>
  <si>
    <t>منح شهادة اعتماد- مختبرات الفحص الانشائية</t>
  </si>
  <si>
    <t>شهادة اعتماد</t>
  </si>
  <si>
    <t>تقديم طلب الكتروني لغرض الحصول على التأمين البحري لدى شركة التأمين العراقية</t>
  </si>
  <si>
    <t>التامين البحري</t>
  </si>
  <si>
    <t>تدريب وتشغيل الباحثين عن عمل - مكتب محافظ كربلاء- شعبة التشغيل والتدريب</t>
  </si>
  <si>
    <t>باحثين كربلاء</t>
  </si>
  <si>
    <t>استمارة التقديم على فرصة عمل في الشركات في محافظة النجف الأشرف</t>
  </si>
  <si>
    <t>فرصة عمل</t>
  </si>
  <si>
    <t>استمارة التقديم للعمل بصفة ( متعهد / مندوب) عمرة لموسم 2027م -1448هـ</t>
  </si>
  <si>
    <t>متعهد ومندوب</t>
  </si>
  <si>
    <t>استمارة التقديم على وظائف PETRONAS - التعيين المحلي 2026</t>
  </si>
  <si>
    <t>تقديم وظائف</t>
  </si>
  <si>
    <t>الاستمارة الإلكترونية للإبلاغ عن حالات الفساد الإداري والمالي في وزارة الدفاع</t>
  </si>
  <si>
    <t>حالات الفساد</t>
  </si>
  <si>
    <t>استبانة مقاييس انطباعات الموارد البشرية</t>
  </si>
  <si>
    <t>الموارد البشرية</t>
  </si>
  <si>
    <t>استبانة مقاييس انطباعات المستفيدين/الزبائن</t>
  </si>
  <si>
    <t>المستفيدين الزبائن</t>
  </si>
  <si>
    <t>خدمة اصحاب الاعمال - مكتب محافظ كربلاء- شعبة التشغيل والتدريب</t>
  </si>
  <si>
    <t>أصحاب الاعمال</t>
  </si>
  <si>
    <t>خدمة بيع الأسمدة الكيمياوية – مديرية مجاري كربلاء المقدسة</t>
  </si>
  <si>
    <t>بيع الأسمدة</t>
  </si>
  <si>
    <t>التقديم الإلكتروني على إيجار أملاك بلديات النجف الأشرف</t>
  </si>
  <si>
    <t>أملاك بلديات</t>
  </si>
  <si>
    <t>تقديم طلب إلكتروني لاستئجار أحد أملاك بلدية المدينة القديمة في النجف الأشرف</t>
  </si>
  <si>
    <t>استئجار أملاك</t>
  </si>
  <si>
    <t>تقديم طلب إلكتروني لاستئجار أحد أملاك بلدية الكوفة</t>
  </si>
  <si>
    <t>استئجار أملاك كوفة</t>
  </si>
  <si>
    <t>تخفيض الاجور الدراسة المسائية (كلية الامام الكاظم ع)</t>
  </si>
  <si>
    <t>تخفيض أجور</t>
  </si>
  <si>
    <t>كبار المكلفين- التحاسب الضريبي</t>
  </si>
  <si>
    <t>التحاسب الضريبي</t>
  </si>
  <si>
    <t>منصة كبار المكلفين - عدم الممانعة</t>
  </si>
  <si>
    <t>عدم الممانعة</t>
  </si>
  <si>
    <t>تقديم طلب إلكتروني بخصوص معاملات الأموال المنقولة وغير المنقولة للقاصرين</t>
  </si>
  <si>
    <t>معاملات الأموال</t>
  </si>
  <si>
    <t>التقديم على فريضة الحج للمشمولين بقانون مؤسسة السجناء السياسيين لسنة 2027</t>
  </si>
  <si>
    <t>فريضة الحج</t>
  </si>
  <si>
    <t>تقديم طلب إلكتروني للإستثمار في المناطق الحرة</t>
  </si>
  <si>
    <t>المناطق الحرة</t>
  </si>
  <si>
    <t>الاستعلام عن المجالس واللجان التحقيقية الخاصة بقضايا التحريف و ازدواجية الراتب</t>
  </si>
  <si>
    <t>المجالس واللجان</t>
  </si>
  <si>
    <t>استمارة تنفيذ مبادرات/ المجلس الوطني للشباب</t>
  </si>
  <si>
    <t>تنفيذ مبادرات</t>
  </si>
  <si>
    <t>استمارة حجز موعد</t>
  </si>
  <si>
    <t>حجز موعد</t>
  </si>
  <si>
    <t>الاستمارة الالكترونية لجمع بيانات الموظفين والكادر التدريسي لمديرية العامة لتربية الكرخ الاولى</t>
  </si>
  <si>
    <t>جمع بيانات</t>
  </si>
  <si>
    <t>الاستمارة الاكترونية الخاصة بجرد أجهزة الحاسوب وملحقاتها للمدارس التابعة لتربية بغداد الكرخ الاولى</t>
  </si>
  <si>
    <t>أجهزة الحاسوب</t>
  </si>
  <si>
    <t>اقسام وشعب</t>
  </si>
  <si>
    <t>الاستمارة الالكترونية الخاصة بجرد أجهزة الحاسوب وملحقاتها لاقسام وشعب تربية بغداد الكرخ الاولى</t>
  </si>
  <si>
    <t>توزيع قطع اراضي - عوائل شهداء الجيش الابيض (شهداء كورونا)</t>
  </si>
  <si>
    <t>شهداء كورونا</t>
  </si>
  <si>
    <t>منح شهادة الاعتماد- جهات التفتيش</t>
  </si>
  <si>
    <t>جهات التفتيش</t>
  </si>
  <si>
    <t>خدمة الجرحى المتقاعدين لمنتسبي وزارة الدفاع</t>
  </si>
  <si>
    <t>الجرحى المتقاعدين</t>
  </si>
  <si>
    <t>التقديم للعمل بصفة مرشد/ة لموسم الحج 1448 هـ</t>
  </si>
  <si>
    <t>بصفة مرشد/ة</t>
  </si>
  <si>
    <t>تقديم طلب إلكتروني للحصول عل خدمات منصة إنجاز الرقمية - دوائر ديوان الوقف الشيعي</t>
  </si>
  <si>
    <t>إنجاز رقمية</t>
  </si>
  <si>
    <t>التقديم للاعتراض على عدم القبول على فريضة الحج للمتقدمين الكترونيا من المشمولين بقانون مؤسسة السجناء السياسيين لسنة 2027</t>
  </si>
  <si>
    <t>تقديم على اعتراض</t>
  </si>
  <si>
    <t>التقديم الالكتروني على معاهد التدريب النفطي للعام الدراسي (2026-2027)</t>
  </si>
  <si>
    <t>معاهد التدريب النفطي 2</t>
  </si>
  <si>
    <t>شكاوي واستفسارات الخاص بالاكاديمية العسكرية - وزارة الدفاع</t>
  </si>
  <si>
    <t>اكاديمية عسكرية</t>
  </si>
  <si>
    <t>استبانة رضا الاطراف المعنية</t>
  </si>
  <si>
    <t>رضا اطراف معنية</t>
  </si>
  <si>
    <t>استيفاء اجور الخدمات المقدمة من دائرة المعهد العالي لأعداد وتأهيل القادة</t>
  </si>
  <si>
    <t>الأمانة العامة لمجلس الوزراء</t>
  </si>
  <si>
    <t>مستقلة</t>
  </si>
  <si>
    <t>استيفاء أجور</t>
  </si>
  <si>
    <t>مكان الدفع</t>
  </si>
  <si>
    <t>الاستمارة</t>
  </si>
  <si>
    <t>تقديم طلب الكتروني لغرض الشمول بالتأمين الهندسي لدى شركة التأمين العراقية</t>
  </si>
  <si>
    <t>التامين الهندسي</t>
  </si>
  <si>
    <t>المحطة</t>
  </si>
  <si>
    <t>تقديم طلب إلكتروني للتأمين من الحوادث الشخصية وحوادث الارهاب لدى شركة التأمين العراقية</t>
  </si>
  <si>
    <t>شخصية وإرهاب</t>
  </si>
  <si>
    <t>طلب وثيقة تخرج</t>
  </si>
  <si>
    <t>وثيقة تخرج</t>
  </si>
  <si>
    <t>أستبانة رضا الأطراف المعنية</t>
  </si>
  <si>
    <t>رضا الاطراف</t>
  </si>
  <si>
    <t>استمارة الترشيح لعضوية مجلس الخدمة العامة الاتحادي</t>
  </si>
  <si>
    <t>مجلس الخدمة الاتحادي</t>
  </si>
  <si>
    <t>ترشيح عضوية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</si>
</sst>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0" fontId="3" fillId="0" borderId="7" xfId="1" applyNumberFormat="1" applyFont="1" applyBorder="1" applyAlignment="1">
      <alignment horizontal="center"/>
    </xf>
    <xf numFmtId="10" fontId="3" fillId="0" borderId="1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2" xfId="1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5" xfId="0" applyFont="1" applyBorder="1" applyAlignment="1">
      <alignment horizontal="center" vertical="center"/>
    </xf>
    <xf numFmtId="10" fontId="3" fillId="0" borderId="10" xfId="1" applyNumberFormat="1" applyFont="1" applyBorder="1" applyAlignment="1">
      <alignment horizontal="center" vertical="center"/>
    </xf>
    <xf numFmtId="10" fontId="3" fillId="0" borderId="7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007DD-6219-4111-BA74-4FEE49F84178}" name="Table1" displayName="Table1" ref="A1:G241" totalsRowShown="0" headerRowDxfId="71" dataDxfId="69" headerRowBorderDxfId="70">
  <sortState xmlns:xlrd2="http://schemas.microsoft.com/office/spreadsheetml/2017/richdata2" ref="A2:G239">
    <sortCondition ref="B2:B239"/>
  </sortState>
  <tableColumns count="7">
    <tableColumn id="1" xr3:uid="{20FD99FD-87DB-4DD1-989A-014AAE8F25F6}" name="ت." dataDxfId="68" totalsRowDxfId="67">
      <calculatedColumnFormula>ROW()-1</calculatedColumnFormula>
    </tableColumn>
    <tableColumn id="2" xr3:uid="{F323E4AC-F323-4F97-9904-326D9949B165}" name="رقم الخدمة" dataDxfId="66" totalsRowDxfId="65"/>
    <tableColumn id="3" xr3:uid="{58A3CC8C-66BF-4DA6-B0EF-C7F43089C5C0}" name="اسم الخدمة" dataDxfId="64" totalsRowDxfId="63"/>
    <tableColumn id="4" xr3:uid="{176DB514-0824-46BC-9146-CAA89D7A742F}" name="جهة الخدمة" dataDxfId="62" totalsRowDxfId="61"/>
    <tableColumn id="5" xr3:uid="{E4173C63-A839-4611-8E53-7B3AE2F439DB}" name="نوع الجهة" dataDxfId="60" totalsRowDxfId="59"/>
    <tableColumn id="6" xr3:uid="{C01A4E12-3E16-4DE9-86B3-69F70894487E}" name="نوع العمل" dataDxfId="58" totalsRowDxfId="57"/>
    <tableColumn id="7" xr3:uid="{3481871F-BF9F-4C45-AC54-67A9AF362483}" name="اسم الملف" dataDxfId="56" totalsRowDxfId="5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F97999-FBC9-427B-AC68-DAFBADA61BB8}" name="Table5" displayName="Table5" ref="A1:H6" totalsRowShown="0" headerRowDxfId="54" dataDxfId="52" headerRowBorderDxfId="53" tableBorderDxfId="51" totalsRowBorderDxfId="50">
  <tableColumns count="8">
    <tableColumn id="1" xr3:uid="{69E53D5C-73E1-4C2D-A2FF-8B09CE7A5D9B}" name="ت." dataDxfId="49">
      <calculatedColumnFormula>ROW()-1</calculatedColumnFormula>
    </tableColumn>
    <tableColumn id="2" xr3:uid="{EBAAD0E3-6F6D-4DE2-A8C7-BC5A0EEE6FE2}" name="رقم الخدمة" dataDxfId="48"/>
    <tableColumn id="3" xr3:uid="{0BCF7553-361D-472A-8D6B-445844D28E52}" name="اسم الخدمة" dataDxfId="47"/>
    <tableColumn id="4" xr3:uid="{3E2F9AA3-02D8-4C6F-8CBA-BA47686A8C20}" name="جهة الخدمة" dataDxfId="46"/>
    <tableColumn id="5" xr3:uid="{9F37D9B7-7A9A-4709-8DFC-E6579BBF5270}" name="نوع الجهة" dataDxfId="45"/>
    <tableColumn id="9" xr3:uid="{2DD6D84B-0F1F-4F7E-BFC9-49CC99A8B055}" name="نوع العمل" dataDxfId="44"/>
    <tableColumn id="10" xr3:uid="{97CE7C95-A47D-44C9-B115-777267316E94}" name="اسم الملف" dataDxfId="43"/>
    <tableColumn id="7" xr3:uid="{2C0E9C57-3204-4A1B-B24D-2DE53DDD9D13}" name="مكان الدفع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B1F257-44EE-46D6-BF12-56DE95D1A039}" name="Table2" displayName="Table2" ref="F1:I9" totalsRowCount="1" headerRowDxfId="41" dataDxfId="39" totalsRowDxfId="38" headerRowBorderDxfId="40">
  <sortState xmlns:xlrd2="http://schemas.microsoft.com/office/spreadsheetml/2017/richdata2" ref="F2:I8">
    <sortCondition ref="G2:G8"/>
  </sortState>
  <tableColumns count="4">
    <tableColumn id="1" xr3:uid="{FDC31943-D832-4BCF-8A6F-51F74847839D}" name="ت." dataDxfId="37" totalsRowDxfId="36">
      <calculatedColumnFormula>ROW()-1</calculatedColumnFormula>
    </tableColumn>
    <tableColumn id="2" xr3:uid="{D6F61CFE-6FB5-4088-802C-280AB03DDC3F}" name="نوع الجهة" totalsRowLabel="المجموع" dataDxfId="35" totalsRowDxfId="34"/>
    <tableColumn id="3" xr3:uid="{819F64F0-7B30-437C-8552-96E1BA009158}" name="عدد الخدمات" totalsRowFunction="sum" dataDxfId="33" totalsRowDxfId="32">
      <calculatedColumnFormula>COUNTIF(Table1[نوع الجهة],Table2[[#This Row],[نوع الجهة]])</calculatedColumnFormula>
    </tableColumn>
    <tableColumn id="5" xr3:uid="{D928E8D0-BE48-4700-B3FA-A3A0C6ED8D95}" name="النسبة المئوية" dataDxfId="31" totalsRowDxfId="30" dataCellStyle="Percent">
      <calculatedColumnFormula>Table2[[#This Row],[عدد الخدمات]]/Table2[[#Totals],[عدد الخدمات]]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9702DE-766F-4CF2-9B1D-2C4151D8816A}" name="Table3" displayName="Table3" ref="A1:D43" totalsRowCount="1" headerRowDxfId="29" dataDxfId="27" headerRowBorderDxfId="28" tableBorderDxfId="26" totalsRowBorderDxfId="25">
  <sortState xmlns:xlrd2="http://schemas.microsoft.com/office/spreadsheetml/2017/richdata2" ref="A2:D41">
    <sortCondition ref="B2:B41"/>
  </sortState>
  <tableColumns count="4">
    <tableColumn id="1" xr3:uid="{04CB5523-1DF6-4CA0-AC24-1D21F85D9F94}" name="ت." dataDxfId="24" totalsRowDxfId="5">
      <calculatedColumnFormula>ROW()-1</calculatedColumnFormula>
    </tableColumn>
    <tableColumn id="2" xr3:uid="{966ACB29-C086-4C8E-BD62-D0F9ECCCA301}" name="اسم الجهة" totalsRowLabel="المجموع" dataDxfId="23" totalsRowDxfId="4"/>
    <tableColumn id="3" xr3:uid="{E47A3AE0-B7A7-44F8-8FA6-8FA757A3066F}" name="عدد الخدمات" totalsRowFunction="sum" dataDxfId="22" totalsRowDxfId="3">
      <calculatedColumnFormula>COUNTIF(Table1[جهة الخدمة],Table3[[#This Row],[اسم الجهة]])</calculatedColumnFormula>
    </tableColumn>
    <tableColumn id="5" xr3:uid="{0D34DEDD-061D-44F4-9DA6-86D41E4BDDB7}" name="النسبة المئوية" totalsRowFunction="sum" dataDxfId="21" totalsRowDxfId="2" dataCellStyle="Percent">
      <calculatedColumnFormula>Table3[[#This Row],[عدد الخدمات]]/Table3[[#Totals],[عدد الخدمات]]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56BF47-5D06-47A5-8205-AC117836580F}" name="Table4" displayName="Table4" ref="F11:I14" totalsRowCount="1" headerRowDxfId="20" dataDxfId="18" headerRowBorderDxfId="19" tableBorderDxfId="17" totalsRowBorderDxfId="16">
  <tableColumns count="4">
    <tableColumn id="1" xr3:uid="{B2E7143D-F8BC-4FF5-B1BE-2A90C29EF400}" name="ت" dataDxfId="15" totalsRowDxfId="14">
      <calculatedColumnFormula>ROW()-11</calculatedColumnFormula>
    </tableColumn>
    <tableColumn id="2" xr3:uid="{4A8E3EC9-46C6-46A2-85BB-E7D02B7ABF90}" name="نوع العمل" totalsRowLabel="المجموع" dataDxfId="13" totalsRowDxfId="12"/>
    <tableColumn id="3" xr3:uid="{140AD779-6235-4A33-848F-7CF18BA55E33}" name="عدد الخدمات" totalsRowFunction="sum" dataDxfId="11" totalsRowDxfId="10">
      <calculatedColumnFormula>COUNTIF(Table1[نوع العمل],Table4[[#This Row],[نوع العمل]])</calculatedColumnFormula>
    </tableColumn>
    <tableColumn id="4" xr3:uid="{CD921388-F9B8-4CDD-A07C-FBB8C0ABF589}" name="النسبة المئوية" dataDxfId="9" totalsRowDxfId="8" dataCellStyle="Percent">
      <calculatedColumnFormula>Table4[[#This Row],[عدد الخدمات]]/Table4[[#Totals],[عدد الخدمات]]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rightToLeft="1" tabSelected="1" topLeftCell="C215" workbookViewId="0">
      <selection activeCell="G240" sqref="G240"/>
    </sheetView>
  </sheetViews>
  <sheetFormatPr defaultRowHeight="15" x14ac:dyDescent="0.25"/>
  <cols>
    <col min="1" max="1" width="5.5703125" bestFit="1" customWidth="1"/>
    <col min="2" max="2" width="11.28515625" bestFit="1" customWidth="1"/>
    <col min="3" max="3" width="148.140625" bestFit="1" customWidth="1"/>
    <col min="4" max="4" width="59.7109375" bestFit="1" customWidth="1"/>
    <col min="5" max="5" width="9.7109375" bestFit="1" customWidth="1"/>
    <col min="6" max="6" width="12.42578125" bestFit="1" customWidth="1"/>
    <col min="7" max="7" width="32" bestFit="1" customWidth="1"/>
  </cols>
  <sheetData>
    <row r="1" spans="1:7" ht="18.7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4" t="s">
        <v>87</v>
      </c>
      <c r="G1" s="4" t="s">
        <v>156</v>
      </c>
    </row>
    <row r="2" spans="1:7" ht="18.75" x14ac:dyDescent="0.25">
      <c r="A2" s="1">
        <f t="shared" ref="A2:A65" si="0">ROW()-1</f>
        <v>1</v>
      </c>
      <c r="B2" s="1">
        <v>197</v>
      </c>
      <c r="C2" s="1" t="s">
        <v>149</v>
      </c>
      <c r="D2" s="1" t="s">
        <v>150</v>
      </c>
      <c r="E2" s="1" t="s">
        <v>7</v>
      </c>
      <c r="F2" s="4" t="s">
        <v>88</v>
      </c>
      <c r="G2" s="4">
        <v>197</v>
      </c>
    </row>
    <row r="3" spans="1:7" ht="18.75" x14ac:dyDescent="0.25">
      <c r="A3" s="3">
        <f t="shared" si="0"/>
        <v>2</v>
      </c>
      <c r="B3" s="3">
        <v>303</v>
      </c>
      <c r="C3" s="3" t="s">
        <v>381</v>
      </c>
      <c r="D3" s="3" t="s">
        <v>354</v>
      </c>
      <c r="E3" s="3" t="s">
        <v>83</v>
      </c>
      <c r="F3" s="4" t="s">
        <v>88</v>
      </c>
      <c r="G3" s="1" t="s">
        <v>382</v>
      </c>
    </row>
    <row r="4" spans="1:7" ht="18.75" x14ac:dyDescent="0.25">
      <c r="A4" s="3">
        <f t="shared" si="0"/>
        <v>3</v>
      </c>
      <c r="B4" s="3">
        <v>10311</v>
      </c>
      <c r="C4" s="3" t="s">
        <v>290</v>
      </c>
      <c r="D4" s="3" t="s">
        <v>62</v>
      </c>
      <c r="E4" s="3" t="s">
        <v>7</v>
      </c>
      <c r="F4" s="4" t="s">
        <v>88</v>
      </c>
      <c r="G4" s="1" t="s">
        <v>291</v>
      </c>
    </row>
    <row r="5" spans="1:7" ht="18.75" x14ac:dyDescent="0.25">
      <c r="A5" s="3">
        <f t="shared" si="0"/>
        <v>4</v>
      </c>
      <c r="B5" s="3">
        <v>10335</v>
      </c>
      <c r="C5" s="3" t="s">
        <v>324</v>
      </c>
      <c r="D5" s="3" t="s">
        <v>150</v>
      </c>
      <c r="E5" s="3" t="s">
        <v>7</v>
      </c>
      <c r="F5" s="4" t="s">
        <v>88</v>
      </c>
      <c r="G5" s="1">
        <v>10335</v>
      </c>
    </row>
    <row r="6" spans="1:7" ht="18.75" x14ac:dyDescent="0.25">
      <c r="A6" s="3">
        <f t="shared" si="0"/>
        <v>5</v>
      </c>
      <c r="B6" s="3">
        <v>10360</v>
      </c>
      <c r="C6" s="3" t="s">
        <v>311</v>
      </c>
      <c r="D6" s="3" t="s">
        <v>46</v>
      </c>
      <c r="E6" s="3" t="s">
        <v>7</v>
      </c>
      <c r="F6" s="4" t="s">
        <v>88</v>
      </c>
      <c r="G6" s="1" t="s">
        <v>312</v>
      </c>
    </row>
    <row r="7" spans="1:7" ht="18.75" x14ac:dyDescent="0.25">
      <c r="A7" s="3">
        <f t="shared" si="0"/>
        <v>6</v>
      </c>
      <c r="B7" s="3">
        <v>10370</v>
      </c>
      <c r="C7" s="3" t="s">
        <v>55</v>
      </c>
      <c r="D7" s="3" t="s">
        <v>56</v>
      </c>
      <c r="E7" s="3" t="s">
        <v>7</v>
      </c>
      <c r="F7" s="4" t="s">
        <v>88</v>
      </c>
      <c r="G7" s="1" t="s">
        <v>237</v>
      </c>
    </row>
    <row r="8" spans="1:7" ht="18.75" x14ac:dyDescent="0.25">
      <c r="A8" s="3">
        <f t="shared" si="0"/>
        <v>7</v>
      </c>
      <c r="B8" s="3">
        <v>10396</v>
      </c>
      <c r="C8" s="3" t="s">
        <v>206</v>
      </c>
      <c r="D8" s="3" t="s">
        <v>35</v>
      </c>
      <c r="E8" s="3" t="s">
        <v>7</v>
      </c>
      <c r="F8" s="4" t="s">
        <v>88</v>
      </c>
      <c r="G8" s="1" t="s">
        <v>207</v>
      </c>
    </row>
    <row r="9" spans="1:7" ht="18.75" x14ac:dyDescent="0.25">
      <c r="A9" s="3">
        <f t="shared" si="0"/>
        <v>8</v>
      </c>
      <c r="B9" s="3">
        <v>10400</v>
      </c>
      <c r="C9" s="3" t="s">
        <v>50</v>
      </c>
      <c r="D9" s="3" t="s">
        <v>49</v>
      </c>
      <c r="E9" s="3" t="s">
        <v>7</v>
      </c>
      <c r="F9" s="4" t="s">
        <v>88</v>
      </c>
      <c r="G9" s="1" t="s">
        <v>221</v>
      </c>
    </row>
    <row r="10" spans="1:7" ht="18.75" x14ac:dyDescent="0.25">
      <c r="A10" s="3">
        <f t="shared" si="0"/>
        <v>9</v>
      </c>
      <c r="B10" s="3">
        <v>10407</v>
      </c>
      <c r="C10" s="3" t="s">
        <v>51</v>
      </c>
      <c r="D10" s="3" t="s">
        <v>52</v>
      </c>
      <c r="E10" s="3" t="s">
        <v>7</v>
      </c>
      <c r="F10" s="4" t="s">
        <v>88</v>
      </c>
      <c r="G10" s="1" t="s">
        <v>226</v>
      </c>
    </row>
    <row r="11" spans="1:7" ht="18.75" x14ac:dyDescent="0.25">
      <c r="A11" s="3">
        <f t="shared" si="0"/>
        <v>10</v>
      </c>
      <c r="B11" s="3">
        <v>10432</v>
      </c>
      <c r="C11" s="3" t="s">
        <v>14</v>
      </c>
      <c r="D11" s="3" t="s">
        <v>15</v>
      </c>
      <c r="E11" s="3" t="s">
        <v>10</v>
      </c>
      <c r="F11" s="4" t="s">
        <v>88</v>
      </c>
      <c r="G11" s="1" t="s">
        <v>167</v>
      </c>
    </row>
    <row r="12" spans="1:7" ht="18.75" x14ac:dyDescent="0.25">
      <c r="A12" s="3">
        <f t="shared" si="0"/>
        <v>11</v>
      </c>
      <c r="B12" s="3">
        <v>10457</v>
      </c>
      <c r="C12" s="3" t="s">
        <v>53</v>
      </c>
      <c r="D12" s="3" t="s">
        <v>52</v>
      </c>
      <c r="E12" s="3" t="s">
        <v>7</v>
      </c>
      <c r="F12" s="4" t="s">
        <v>88</v>
      </c>
      <c r="G12" s="1" t="s">
        <v>227</v>
      </c>
    </row>
    <row r="13" spans="1:7" ht="18.75" x14ac:dyDescent="0.25">
      <c r="A13" s="3">
        <f t="shared" si="0"/>
        <v>12</v>
      </c>
      <c r="B13" s="3">
        <v>10478</v>
      </c>
      <c r="C13" s="3" t="s">
        <v>502</v>
      </c>
      <c r="D13" s="3" t="s">
        <v>84</v>
      </c>
      <c r="E13" s="3" t="s">
        <v>83</v>
      </c>
      <c r="F13" s="4" t="s">
        <v>88</v>
      </c>
      <c r="G13" s="1" t="s">
        <v>503</v>
      </c>
    </row>
    <row r="14" spans="1:7" ht="18.75" x14ac:dyDescent="0.25">
      <c r="A14" s="3">
        <f t="shared" si="0"/>
        <v>13</v>
      </c>
      <c r="B14" s="3">
        <v>10508</v>
      </c>
      <c r="C14" s="3" t="s">
        <v>271</v>
      </c>
      <c r="D14" s="3" t="s">
        <v>49</v>
      </c>
      <c r="E14" s="3" t="s">
        <v>7</v>
      </c>
      <c r="F14" s="4" t="s">
        <v>88</v>
      </c>
      <c r="G14" s="1" t="s">
        <v>272</v>
      </c>
    </row>
    <row r="15" spans="1:7" ht="18.75" x14ac:dyDescent="0.25">
      <c r="A15" s="3">
        <f t="shared" si="0"/>
        <v>14</v>
      </c>
      <c r="B15" s="3">
        <v>10509</v>
      </c>
      <c r="C15" s="3" t="s">
        <v>480</v>
      </c>
      <c r="D15" s="3" t="s">
        <v>64</v>
      </c>
      <c r="E15" s="3" t="s">
        <v>7</v>
      </c>
      <c r="F15" s="4" t="s">
        <v>88</v>
      </c>
      <c r="G15" s="1" t="s">
        <v>481</v>
      </c>
    </row>
    <row r="16" spans="1:7" ht="18.75" x14ac:dyDescent="0.25">
      <c r="A16" s="3">
        <f t="shared" si="0"/>
        <v>15</v>
      </c>
      <c r="B16" s="3">
        <v>10514</v>
      </c>
      <c r="C16" s="3" t="s">
        <v>37</v>
      </c>
      <c r="D16" s="3" t="s">
        <v>35</v>
      </c>
      <c r="E16" s="3" t="s">
        <v>7</v>
      </c>
      <c r="F16" s="4" t="s">
        <v>88</v>
      </c>
      <c r="G16" s="1" t="s">
        <v>199</v>
      </c>
    </row>
    <row r="17" spans="1:7" ht="18.75" x14ac:dyDescent="0.25">
      <c r="A17" s="3">
        <f t="shared" si="0"/>
        <v>16</v>
      </c>
      <c r="B17" s="3">
        <v>10532</v>
      </c>
      <c r="C17" s="3" t="s">
        <v>140</v>
      </c>
      <c r="D17" s="3" t="s">
        <v>79</v>
      </c>
      <c r="E17" s="3" t="s">
        <v>73</v>
      </c>
      <c r="F17" s="4" t="s">
        <v>88</v>
      </c>
      <c r="G17" s="1">
        <v>10532</v>
      </c>
    </row>
    <row r="18" spans="1:7" ht="18.75" x14ac:dyDescent="0.25">
      <c r="A18" s="3">
        <f t="shared" si="0"/>
        <v>17</v>
      </c>
      <c r="B18" s="3">
        <v>10539</v>
      </c>
      <c r="C18" s="3" t="s">
        <v>141</v>
      </c>
      <c r="D18" s="3" t="s">
        <v>79</v>
      </c>
      <c r="E18" s="3" t="s">
        <v>73</v>
      </c>
      <c r="F18" s="1" t="s">
        <v>88</v>
      </c>
      <c r="G18" s="1">
        <v>10539</v>
      </c>
    </row>
    <row r="19" spans="1:7" ht="18.75" x14ac:dyDescent="0.25">
      <c r="A19" s="3">
        <f t="shared" si="0"/>
        <v>18</v>
      </c>
      <c r="B19" s="3">
        <v>10541</v>
      </c>
      <c r="C19" s="3" t="s">
        <v>139</v>
      </c>
      <c r="D19" s="3" t="s">
        <v>79</v>
      </c>
      <c r="E19" s="3" t="s">
        <v>73</v>
      </c>
      <c r="F19" s="1" t="s">
        <v>88</v>
      </c>
      <c r="G19" s="1">
        <v>10541</v>
      </c>
    </row>
    <row r="20" spans="1:7" ht="18.75" x14ac:dyDescent="0.25">
      <c r="A20" s="3">
        <f t="shared" si="0"/>
        <v>19</v>
      </c>
      <c r="B20" s="3">
        <v>10562</v>
      </c>
      <c r="C20" s="3" t="s">
        <v>40</v>
      </c>
      <c r="D20" s="3" t="s">
        <v>41</v>
      </c>
      <c r="E20" s="3" t="s">
        <v>7</v>
      </c>
      <c r="F20" s="1" t="s">
        <v>88</v>
      </c>
      <c r="G20" s="1" t="s">
        <v>192</v>
      </c>
    </row>
    <row r="21" spans="1:7" ht="18.75" x14ac:dyDescent="0.25">
      <c r="A21" s="3">
        <f t="shared" si="0"/>
        <v>20</v>
      </c>
      <c r="B21" s="3">
        <v>10565</v>
      </c>
      <c r="C21" s="3" t="s">
        <v>143</v>
      </c>
      <c r="D21" s="3" t="s">
        <v>79</v>
      </c>
      <c r="E21" s="3" t="s">
        <v>73</v>
      </c>
      <c r="F21" s="1" t="s">
        <v>88</v>
      </c>
      <c r="G21" s="1">
        <v>10565</v>
      </c>
    </row>
    <row r="22" spans="1:7" ht="18.75" x14ac:dyDescent="0.25">
      <c r="A22" s="3">
        <f t="shared" si="0"/>
        <v>21</v>
      </c>
      <c r="B22" s="3">
        <v>10568</v>
      </c>
      <c r="C22" s="3" t="s">
        <v>142</v>
      </c>
      <c r="D22" s="3" t="s">
        <v>79</v>
      </c>
      <c r="E22" s="3" t="s">
        <v>73</v>
      </c>
      <c r="F22" s="1" t="s">
        <v>88</v>
      </c>
      <c r="G22" s="1">
        <v>10568</v>
      </c>
    </row>
    <row r="23" spans="1:7" ht="18.75" x14ac:dyDescent="0.25">
      <c r="A23" s="3">
        <f t="shared" si="0"/>
        <v>22</v>
      </c>
      <c r="B23" s="3">
        <v>10579</v>
      </c>
      <c r="C23" s="3" t="s">
        <v>97</v>
      </c>
      <c r="D23" s="3" t="s">
        <v>68</v>
      </c>
      <c r="E23" s="3" t="s">
        <v>7</v>
      </c>
      <c r="F23" s="1" t="s">
        <v>88</v>
      </c>
      <c r="G23" s="1" t="s">
        <v>240</v>
      </c>
    </row>
    <row r="24" spans="1:7" ht="18.75" x14ac:dyDescent="0.25">
      <c r="A24" s="3">
        <f t="shared" si="0"/>
        <v>23</v>
      </c>
      <c r="B24" s="3">
        <v>10603</v>
      </c>
      <c r="C24" s="3" t="s">
        <v>444</v>
      </c>
      <c r="D24" s="3" t="s">
        <v>64</v>
      </c>
      <c r="E24" s="3" t="s">
        <v>7</v>
      </c>
      <c r="F24" s="1" t="s">
        <v>88</v>
      </c>
      <c r="G24" s="1" t="s">
        <v>445</v>
      </c>
    </row>
    <row r="25" spans="1:7" ht="18.75" x14ac:dyDescent="0.25">
      <c r="A25" s="3">
        <f t="shared" si="0"/>
        <v>24</v>
      </c>
      <c r="B25" s="3">
        <v>10611</v>
      </c>
      <c r="C25" s="3" t="s">
        <v>145</v>
      </c>
      <c r="D25" s="3" t="s">
        <v>79</v>
      </c>
      <c r="E25" s="3" t="s">
        <v>73</v>
      </c>
      <c r="F25" s="1" t="s">
        <v>88</v>
      </c>
      <c r="G25" s="1">
        <v>10611</v>
      </c>
    </row>
    <row r="26" spans="1:7" ht="18.75" x14ac:dyDescent="0.25">
      <c r="A26" s="3">
        <f t="shared" si="0"/>
        <v>25</v>
      </c>
      <c r="B26" s="3">
        <v>10630</v>
      </c>
      <c r="C26" s="3" t="s">
        <v>144</v>
      </c>
      <c r="D26" s="3" t="s">
        <v>79</v>
      </c>
      <c r="E26" s="3" t="s">
        <v>73</v>
      </c>
      <c r="F26" s="1" t="s">
        <v>88</v>
      </c>
      <c r="G26" s="1">
        <v>10630</v>
      </c>
    </row>
    <row r="27" spans="1:7" ht="18.75" x14ac:dyDescent="0.25">
      <c r="A27" s="3">
        <f t="shared" si="0"/>
        <v>26</v>
      </c>
      <c r="B27" s="3">
        <v>10648</v>
      </c>
      <c r="C27" s="3" t="s">
        <v>130</v>
      </c>
      <c r="D27" s="3" t="s">
        <v>46</v>
      </c>
      <c r="E27" s="3" t="s">
        <v>7</v>
      </c>
      <c r="F27" s="1" t="s">
        <v>88</v>
      </c>
      <c r="G27" s="1" t="s">
        <v>232</v>
      </c>
    </row>
    <row r="28" spans="1:7" ht="18.75" x14ac:dyDescent="0.25">
      <c r="A28" s="3">
        <f t="shared" si="0"/>
        <v>27</v>
      </c>
      <c r="B28" s="3">
        <v>10664</v>
      </c>
      <c r="C28" s="3" t="s">
        <v>325</v>
      </c>
      <c r="D28" s="3" t="s">
        <v>150</v>
      </c>
      <c r="E28" s="3" t="s">
        <v>7</v>
      </c>
      <c r="F28" s="1" t="s">
        <v>88</v>
      </c>
      <c r="G28" s="1">
        <v>10664</v>
      </c>
    </row>
    <row r="29" spans="1:7" ht="18.75" x14ac:dyDescent="0.25">
      <c r="A29" s="3">
        <f t="shared" si="0"/>
        <v>28</v>
      </c>
      <c r="B29" s="3">
        <v>10675</v>
      </c>
      <c r="C29" s="3" t="s">
        <v>38</v>
      </c>
      <c r="D29" s="3" t="s">
        <v>35</v>
      </c>
      <c r="E29" s="3" t="s">
        <v>7</v>
      </c>
      <c r="F29" s="1" t="s">
        <v>89</v>
      </c>
      <c r="G29" s="1" t="s">
        <v>200</v>
      </c>
    </row>
    <row r="30" spans="1:7" ht="18.75" x14ac:dyDescent="0.25">
      <c r="A30" s="3">
        <f t="shared" si="0"/>
        <v>29</v>
      </c>
      <c r="B30" s="3">
        <v>10688</v>
      </c>
      <c r="C30" s="3" t="s">
        <v>152</v>
      </c>
      <c r="D30" s="3" t="s">
        <v>79</v>
      </c>
      <c r="E30" s="3" t="s">
        <v>73</v>
      </c>
      <c r="F30" s="1" t="s">
        <v>88</v>
      </c>
      <c r="G30" s="1">
        <v>10688</v>
      </c>
    </row>
    <row r="31" spans="1:7" ht="18.75" x14ac:dyDescent="0.25">
      <c r="A31" s="3">
        <f t="shared" si="0"/>
        <v>30</v>
      </c>
      <c r="B31" s="3">
        <v>10712</v>
      </c>
      <c r="C31" s="3" t="s">
        <v>360</v>
      </c>
      <c r="D31" s="3" t="s">
        <v>20</v>
      </c>
      <c r="E31" s="3" t="s">
        <v>10</v>
      </c>
      <c r="F31" s="1" t="s">
        <v>88</v>
      </c>
      <c r="G31" s="1" t="s">
        <v>361</v>
      </c>
    </row>
    <row r="32" spans="1:7" ht="18.75" x14ac:dyDescent="0.25">
      <c r="A32" s="3">
        <f t="shared" si="0"/>
        <v>31</v>
      </c>
      <c r="B32" s="3">
        <v>10715</v>
      </c>
      <c r="C32" s="3" t="s">
        <v>63</v>
      </c>
      <c r="D32" s="3" t="s">
        <v>64</v>
      </c>
      <c r="E32" s="3" t="s">
        <v>7</v>
      </c>
      <c r="F32" s="1" t="s">
        <v>88</v>
      </c>
      <c r="G32" s="1" t="s">
        <v>238</v>
      </c>
    </row>
    <row r="33" spans="1:7" ht="18.75" x14ac:dyDescent="0.25">
      <c r="A33" s="3">
        <f t="shared" si="0"/>
        <v>32</v>
      </c>
      <c r="B33" s="3">
        <v>10727</v>
      </c>
      <c r="C33" s="3" t="s">
        <v>82</v>
      </c>
      <c r="D33" s="3" t="s">
        <v>84</v>
      </c>
      <c r="E33" s="3" t="s">
        <v>83</v>
      </c>
      <c r="F33" s="1" t="s">
        <v>88</v>
      </c>
      <c r="G33" s="1" t="s">
        <v>163</v>
      </c>
    </row>
    <row r="34" spans="1:7" ht="18.75" x14ac:dyDescent="0.25">
      <c r="A34" s="3">
        <f t="shared" si="0"/>
        <v>33</v>
      </c>
      <c r="B34" s="3">
        <v>10730</v>
      </c>
      <c r="C34" s="3" t="s">
        <v>362</v>
      </c>
      <c r="D34" s="3" t="s">
        <v>68</v>
      </c>
      <c r="E34" s="3" t="s">
        <v>7</v>
      </c>
      <c r="F34" s="1" t="s">
        <v>88</v>
      </c>
      <c r="G34" s="1" t="s">
        <v>363</v>
      </c>
    </row>
    <row r="35" spans="1:7" ht="18.75" x14ac:dyDescent="0.25">
      <c r="A35" s="3">
        <f t="shared" si="0"/>
        <v>34</v>
      </c>
      <c r="B35" s="3">
        <v>10756</v>
      </c>
      <c r="C35" s="3" t="s">
        <v>403</v>
      </c>
      <c r="D35" s="3" t="s">
        <v>64</v>
      </c>
      <c r="E35" s="3" t="s">
        <v>7</v>
      </c>
      <c r="F35" s="1" t="s">
        <v>88</v>
      </c>
      <c r="G35" s="1" t="s">
        <v>404</v>
      </c>
    </row>
    <row r="36" spans="1:7" ht="18.75" x14ac:dyDescent="0.25">
      <c r="A36" s="3">
        <f t="shared" si="0"/>
        <v>35</v>
      </c>
      <c r="B36" s="3">
        <v>10780</v>
      </c>
      <c r="C36" s="3" t="s">
        <v>65</v>
      </c>
      <c r="D36" s="3" t="s">
        <v>66</v>
      </c>
      <c r="E36" s="3" t="s">
        <v>7</v>
      </c>
      <c r="F36" s="1" t="s">
        <v>88</v>
      </c>
      <c r="G36" s="1" t="s">
        <v>186</v>
      </c>
    </row>
    <row r="37" spans="1:7" ht="18.75" x14ac:dyDescent="0.25">
      <c r="A37" s="3">
        <f t="shared" si="0"/>
        <v>36</v>
      </c>
      <c r="B37" s="3">
        <v>10876</v>
      </c>
      <c r="C37" s="3" t="s">
        <v>320</v>
      </c>
      <c r="D37" s="3" t="s">
        <v>430</v>
      </c>
      <c r="E37" s="3" t="s">
        <v>73</v>
      </c>
      <c r="F37" s="1" t="s">
        <v>88</v>
      </c>
      <c r="G37" s="1" t="s">
        <v>321</v>
      </c>
    </row>
    <row r="38" spans="1:7" ht="18.75" x14ac:dyDescent="0.25">
      <c r="A38" s="3">
        <f t="shared" si="0"/>
        <v>37</v>
      </c>
      <c r="B38" s="3">
        <v>10884</v>
      </c>
      <c r="C38" s="3" t="s">
        <v>47</v>
      </c>
      <c r="D38" s="3" t="s">
        <v>46</v>
      </c>
      <c r="E38" s="3" t="s">
        <v>7</v>
      </c>
      <c r="F38" s="1" t="s">
        <v>88</v>
      </c>
      <c r="G38" s="1" t="s">
        <v>231</v>
      </c>
    </row>
    <row r="39" spans="1:7" ht="18.75" x14ac:dyDescent="0.25">
      <c r="A39" s="3">
        <f t="shared" si="0"/>
        <v>38</v>
      </c>
      <c r="B39" s="3">
        <v>10913</v>
      </c>
      <c r="C39" s="3" t="s">
        <v>30</v>
      </c>
      <c r="D39" s="3" t="s">
        <v>24</v>
      </c>
      <c r="E39" s="3" t="s">
        <v>7</v>
      </c>
      <c r="F39" s="1" t="s">
        <v>89</v>
      </c>
      <c r="G39" s="1" t="s">
        <v>262</v>
      </c>
    </row>
    <row r="40" spans="1:7" ht="18.75" x14ac:dyDescent="0.25">
      <c r="A40" s="3">
        <f t="shared" si="0"/>
        <v>39</v>
      </c>
      <c r="B40" s="3">
        <v>10928</v>
      </c>
      <c r="C40" s="3" t="s">
        <v>235</v>
      </c>
      <c r="D40" s="3" t="s">
        <v>46</v>
      </c>
      <c r="E40" s="3" t="s">
        <v>7</v>
      </c>
      <c r="F40" s="1" t="s">
        <v>88</v>
      </c>
      <c r="G40" s="1" t="s">
        <v>236</v>
      </c>
    </row>
    <row r="41" spans="1:7" ht="18.75" x14ac:dyDescent="0.25">
      <c r="A41" s="3">
        <f t="shared" si="0"/>
        <v>40</v>
      </c>
      <c r="B41" s="3">
        <v>10930</v>
      </c>
      <c r="C41" s="3" t="s">
        <v>161</v>
      </c>
      <c r="D41" s="3" t="s">
        <v>79</v>
      </c>
      <c r="E41" s="3" t="s">
        <v>73</v>
      </c>
      <c r="F41" s="1" t="s">
        <v>88</v>
      </c>
      <c r="G41" s="1" t="s">
        <v>162</v>
      </c>
    </row>
    <row r="42" spans="1:7" ht="18.75" x14ac:dyDescent="0.25">
      <c r="A42" s="3">
        <f t="shared" si="0"/>
        <v>41</v>
      </c>
      <c r="B42" s="3">
        <v>10935</v>
      </c>
      <c r="C42" s="3" t="s">
        <v>233</v>
      </c>
      <c r="D42" s="3" t="s">
        <v>46</v>
      </c>
      <c r="E42" s="3" t="s">
        <v>7</v>
      </c>
      <c r="F42" s="1" t="s">
        <v>88</v>
      </c>
      <c r="G42" s="1" t="s">
        <v>234</v>
      </c>
    </row>
    <row r="43" spans="1:7" ht="18.75" x14ac:dyDescent="0.25">
      <c r="A43" s="3">
        <f t="shared" si="0"/>
        <v>42</v>
      </c>
      <c r="B43" s="3">
        <v>10947</v>
      </c>
      <c r="C43" s="3" t="s">
        <v>375</v>
      </c>
      <c r="D43" s="3" t="s">
        <v>46</v>
      </c>
      <c r="E43" s="3" t="s">
        <v>7</v>
      </c>
      <c r="F43" s="1" t="s">
        <v>88</v>
      </c>
      <c r="G43" s="1" t="s">
        <v>376</v>
      </c>
    </row>
    <row r="44" spans="1:7" ht="18.75" x14ac:dyDescent="0.25">
      <c r="A44" s="3">
        <f t="shared" si="0"/>
        <v>43</v>
      </c>
      <c r="B44" s="3">
        <v>10974</v>
      </c>
      <c r="C44" s="3" t="s">
        <v>93</v>
      </c>
      <c r="D44" s="3" t="s">
        <v>58</v>
      </c>
      <c r="E44" s="3" t="s">
        <v>7</v>
      </c>
      <c r="F44" s="1" t="s">
        <v>88</v>
      </c>
      <c r="G44" s="1" t="s">
        <v>215</v>
      </c>
    </row>
    <row r="45" spans="1:7" ht="18.75" x14ac:dyDescent="0.25">
      <c r="A45" s="3">
        <f t="shared" si="0"/>
        <v>44</v>
      </c>
      <c r="B45" s="3">
        <v>10979</v>
      </c>
      <c r="C45" s="3" t="s">
        <v>120</v>
      </c>
      <c r="D45" s="3" t="s">
        <v>24</v>
      </c>
      <c r="E45" s="3" t="s">
        <v>7</v>
      </c>
      <c r="F45" s="1" t="s">
        <v>88</v>
      </c>
      <c r="G45" s="1" t="s">
        <v>261</v>
      </c>
    </row>
    <row r="46" spans="1:7" ht="18.75" x14ac:dyDescent="0.25">
      <c r="A46" s="3">
        <f t="shared" si="0"/>
        <v>45</v>
      </c>
      <c r="B46" s="3">
        <v>10987</v>
      </c>
      <c r="C46" s="3" t="s">
        <v>21</v>
      </c>
      <c r="D46" s="3" t="s">
        <v>22</v>
      </c>
      <c r="E46" s="3" t="s">
        <v>10</v>
      </c>
      <c r="F46" s="1" t="s">
        <v>88</v>
      </c>
      <c r="G46" s="1" t="s">
        <v>170</v>
      </c>
    </row>
    <row r="47" spans="1:7" ht="18.75" x14ac:dyDescent="0.25">
      <c r="A47" s="3">
        <f t="shared" si="0"/>
        <v>46</v>
      </c>
      <c r="B47" s="3">
        <v>10995</v>
      </c>
      <c r="C47" s="3" t="s">
        <v>155</v>
      </c>
      <c r="D47" s="3" t="s">
        <v>22</v>
      </c>
      <c r="E47" s="3" t="s">
        <v>10</v>
      </c>
      <c r="F47" s="1" t="s">
        <v>88</v>
      </c>
      <c r="G47" s="1" t="s">
        <v>171</v>
      </c>
    </row>
    <row r="48" spans="1:7" ht="18.75" x14ac:dyDescent="0.25">
      <c r="A48" s="3">
        <f t="shared" si="0"/>
        <v>47</v>
      </c>
      <c r="B48" s="3">
        <v>21020</v>
      </c>
      <c r="C48" s="3" t="s">
        <v>33</v>
      </c>
      <c r="D48" s="3" t="s">
        <v>24</v>
      </c>
      <c r="E48" s="3" t="s">
        <v>7</v>
      </c>
      <c r="F48" s="1" t="s">
        <v>89</v>
      </c>
      <c r="G48" s="1" t="s">
        <v>33</v>
      </c>
    </row>
    <row r="49" spans="1:7" ht="18.75" x14ac:dyDescent="0.25">
      <c r="A49" s="3">
        <f t="shared" si="0"/>
        <v>48</v>
      </c>
      <c r="B49" s="3">
        <v>21058</v>
      </c>
      <c r="C49" s="3" t="s">
        <v>294</v>
      </c>
      <c r="D49" s="3" t="s">
        <v>70</v>
      </c>
      <c r="E49" s="3" t="s">
        <v>7</v>
      </c>
      <c r="F49" s="1" t="s">
        <v>88</v>
      </c>
      <c r="G49" s="1" t="s">
        <v>187</v>
      </c>
    </row>
    <row r="50" spans="1:7" ht="18.75" x14ac:dyDescent="0.25">
      <c r="A50" s="3">
        <f t="shared" si="0"/>
        <v>49</v>
      </c>
      <c r="B50" s="3">
        <v>21063</v>
      </c>
      <c r="C50" s="3" t="s">
        <v>117</v>
      </c>
      <c r="D50" s="3" t="s">
        <v>41</v>
      </c>
      <c r="E50" s="3" t="s">
        <v>7</v>
      </c>
      <c r="F50" s="3" t="s">
        <v>88</v>
      </c>
      <c r="G50" s="1" t="s">
        <v>193</v>
      </c>
    </row>
    <row r="51" spans="1:7" ht="18.75" x14ac:dyDescent="0.25">
      <c r="A51" s="3">
        <f t="shared" si="0"/>
        <v>50</v>
      </c>
      <c r="B51" s="3">
        <v>21064</v>
      </c>
      <c r="C51" s="3" t="s">
        <v>11</v>
      </c>
      <c r="D51" s="3" t="s">
        <v>12</v>
      </c>
      <c r="E51" s="3" t="s">
        <v>10</v>
      </c>
      <c r="F51" s="3" t="s">
        <v>88</v>
      </c>
      <c r="G51" s="1" t="s">
        <v>172</v>
      </c>
    </row>
    <row r="52" spans="1:7" ht="18.75" x14ac:dyDescent="0.25">
      <c r="A52" s="3">
        <f t="shared" si="0"/>
        <v>51</v>
      </c>
      <c r="B52" s="3">
        <v>21067</v>
      </c>
      <c r="C52" s="3" t="s">
        <v>154</v>
      </c>
      <c r="D52" s="3" t="s">
        <v>43</v>
      </c>
      <c r="E52" s="3" t="s">
        <v>7</v>
      </c>
      <c r="F52" s="3" t="s">
        <v>88</v>
      </c>
      <c r="G52" s="1" t="s">
        <v>197</v>
      </c>
    </row>
    <row r="53" spans="1:7" ht="18.75" x14ac:dyDescent="0.25">
      <c r="A53" s="3">
        <f t="shared" si="0"/>
        <v>52</v>
      </c>
      <c r="B53" s="3">
        <v>21070</v>
      </c>
      <c r="C53" s="3" t="s">
        <v>114</v>
      </c>
      <c r="D53" s="3" t="s">
        <v>115</v>
      </c>
      <c r="E53" s="3" t="s">
        <v>10</v>
      </c>
      <c r="F53" s="3" t="s">
        <v>88</v>
      </c>
      <c r="G53" s="1" t="s">
        <v>174</v>
      </c>
    </row>
    <row r="54" spans="1:7" ht="18.75" x14ac:dyDescent="0.25">
      <c r="A54" s="3">
        <f t="shared" si="0"/>
        <v>53</v>
      </c>
      <c r="B54" s="3">
        <v>21071</v>
      </c>
      <c r="C54" s="3" t="s">
        <v>36</v>
      </c>
      <c r="D54" s="3" t="s">
        <v>35</v>
      </c>
      <c r="E54" s="3" t="s">
        <v>7</v>
      </c>
      <c r="F54" s="3" t="s">
        <v>88</v>
      </c>
      <c r="G54" s="1" t="s">
        <v>201</v>
      </c>
    </row>
    <row r="55" spans="1:7" ht="18.75" x14ac:dyDescent="0.25">
      <c r="A55" s="3">
        <f t="shared" si="0"/>
        <v>54</v>
      </c>
      <c r="B55" s="3">
        <v>21075</v>
      </c>
      <c r="C55" s="3" t="s">
        <v>476</v>
      </c>
      <c r="D55" s="3" t="s">
        <v>46</v>
      </c>
      <c r="E55" s="3" t="s">
        <v>7</v>
      </c>
      <c r="F55" s="3" t="s">
        <v>88</v>
      </c>
      <c r="G55" s="1" t="s">
        <v>477</v>
      </c>
    </row>
    <row r="56" spans="1:7" ht="18.75" x14ac:dyDescent="0.25">
      <c r="A56" s="3">
        <f t="shared" si="0"/>
        <v>55</v>
      </c>
      <c r="B56" s="3">
        <v>21076</v>
      </c>
      <c r="C56" s="3" t="s">
        <v>160</v>
      </c>
      <c r="D56" s="3" t="s">
        <v>79</v>
      </c>
      <c r="E56" s="3" t="s">
        <v>73</v>
      </c>
      <c r="F56" s="3" t="s">
        <v>88</v>
      </c>
      <c r="G56" s="1">
        <v>21076</v>
      </c>
    </row>
    <row r="57" spans="1:7" ht="18.75" x14ac:dyDescent="0.25">
      <c r="A57" s="3">
        <f t="shared" si="0"/>
        <v>56</v>
      </c>
      <c r="B57" s="3">
        <v>21078</v>
      </c>
      <c r="C57" s="3" t="s">
        <v>8</v>
      </c>
      <c r="D57" s="3" t="s">
        <v>9</v>
      </c>
      <c r="E57" s="3" t="s">
        <v>10</v>
      </c>
      <c r="F57" s="3" t="s">
        <v>88</v>
      </c>
      <c r="G57" s="1" t="s">
        <v>179</v>
      </c>
    </row>
    <row r="58" spans="1:7" ht="18.75" x14ac:dyDescent="0.25">
      <c r="A58" s="3">
        <f t="shared" si="0"/>
        <v>57</v>
      </c>
      <c r="B58" s="3">
        <v>21093</v>
      </c>
      <c r="C58" s="3" t="s">
        <v>85</v>
      </c>
      <c r="D58" s="3" t="s">
        <v>49</v>
      </c>
      <c r="E58" s="3" t="s">
        <v>7</v>
      </c>
      <c r="F58" s="3" t="s">
        <v>88</v>
      </c>
      <c r="G58" s="1" t="s">
        <v>218</v>
      </c>
    </row>
    <row r="59" spans="1:7" ht="18.75" x14ac:dyDescent="0.25">
      <c r="A59" s="3">
        <f t="shared" si="0"/>
        <v>58</v>
      </c>
      <c r="B59" s="3">
        <v>21097</v>
      </c>
      <c r="C59" s="3" t="s">
        <v>42</v>
      </c>
      <c r="D59" s="3" t="s">
        <v>41</v>
      </c>
      <c r="E59" s="3" t="s">
        <v>7</v>
      </c>
      <c r="F59" s="3" t="s">
        <v>89</v>
      </c>
      <c r="G59" s="1" t="s">
        <v>194</v>
      </c>
    </row>
    <row r="60" spans="1:7" ht="18.75" x14ac:dyDescent="0.25">
      <c r="A60" s="3">
        <f t="shared" si="0"/>
        <v>59</v>
      </c>
      <c r="B60" s="3">
        <v>21098</v>
      </c>
      <c r="C60" s="3" t="s">
        <v>301</v>
      </c>
      <c r="D60" s="3" t="s">
        <v>68</v>
      </c>
      <c r="E60" s="3" t="s">
        <v>7</v>
      </c>
      <c r="F60" s="3" t="s">
        <v>88</v>
      </c>
      <c r="G60" s="1" t="s">
        <v>302</v>
      </c>
    </row>
    <row r="61" spans="1:7" ht="18.75" x14ac:dyDescent="0.25">
      <c r="A61" s="3">
        <f t="shared" si="0"/>
        <v>60</v>
      </c>
      <c r="B61" s="3">
        <v>21102</v>
      </c>
      <c r="C61" s="3" t="s">
        <v>86</v>
      </c>
      <c r="D61" s="3" t="s">
        <v>46</v>
      </c>
      <c r="E61" s="3" t="s">
        <v>7</v>
      </c>
      <c r="F61" s="3" t="s">
        <v>88</v>
      </c>
      <c r="G61" s="1" t="s">
        <v>229</v>
      </c>
    </row>
    <row r="62" spans="1:7" ht="18.75" x14ac:dyDescent="0.25">
      <c r="A62" s="3">
        <f t="shared" si="0"/>
        <v>61</v>
      </c>
      <c r="B62" s="3">
        <v>21116</v>
      </c>
      <c r="C62" s="3" t="s">
        <v>266</v>
      </c>
      <c r="D62" s="3" t="s">
        <v>84</v>
      </c>
      <c r="E62" s="3" t="s">
        <v>83</v>
      </c>
      <c r="F62" s="3" t="s">
        <v>88</v>
      </c>
      <c r="G62" s="1" t="s">
        <v>267</v>
      </c>
    </row>
    <row r="63" spans="1:7" ht="18.75" x14ac:dyDescent="0.25">
      <c r="A63" s="3">
        <f t="shared" si="0"/>
        <v>62</v>
      </c>
      <c r="B63" s="3">
        <v>21126</v>
      </c>
      <c r="C63" s="3" t="s">
        <v>69</v>
      </c>
      <c r="D63" s="3" t="s">
        <v>70</v>
      </c>
      <c r="E63" s="3" t="s">
        <v>7</v>
      </c>
      <c r="F63" s="3" t="s">
        <v>88</v>
      </c>
      <c r="G63" s="1" t="s">
        <v>188</v>
      </c>
    </row>
    <row r="64" spans="1:7" ht="18.75" x14ac:dyDescent="0.25">
      <c r="A64" s="3">
        <f t="shared" si="0"/>
        <v>63</v>
      </c>
      <c r="B64" s="3">
        <v>21151</v>
      </c>
      <c r="C64" s="3" t="s">
        <v>54</v>
      </c>
      <c r="D64" s="3" t="s">
        <v>52</v>
      </c>
      <c r="E64" s="3" t="s">
        <v>7</v>
      </c>
      <c r="F64" s="3" t="s">
        <v>88</v>
      </c>
      <c r="G64" s="1" t="s">
        <v>228</v>
      </c>
    </row>
    <row r="65" spans="1:7" ht="18.75" x14ac:dyDescent="0.25">
      <c r="A65" s="3">
        <f t="shared" si="0"/>
        <v>64</v>
      </c>
      <c r="B65" s="3">
        <v>21179</v>
      </c>
      <c r="C65" s="3" t="s">
        <v>80</v>
      </c>
      <c r="D65" s="3" t="s">
        <v>81</v>
      </c>
      <c r="E65" s="3" t="s">
        <v>73</v>
      </c>
      <c r="F65" s="3" t="s">
        <v>88</v>
      </c>
      <c r="G65" s="1" t="s">
        <v>184</v>
      </c>
    </row>
    <row r="66" spans="1:7" ht="18.75" x14ac:dyDescent="0.25">
      <c r="A66" s="3">
        <f t="shared" ref="A66:A129" si="1">ROW()-1</f>
        <v>65</v>
      </c>
      <c r="B66" s="3">
        <v>21184</v>
      </c>
      <c r="C66" s="3" t="s">
        <v>29</v>
      </c>
      <c r="D66" s="3" t="s">
        <v>24</v>
      </c>
      <c r="E66" s="3" t="s">
        <v>7</v>
      </c>
      <c r="F66" s="3" t="s">
        <v>89</v>
      </c>
      <c r="G66" s="1" t="s">
        <v>260</v>
      </c>
    </row>
    <row r="67" spans="1:7" ht="18.75" x14ac:dyDescent="0.25">
      <c r="A67" s="3">
        <f t="shared" si="1"/>
        <v>66</v>
      </c>
      <c r="B67" s="3">
        <v>21185</v>
      </c>
      <c r="C67" s="3" t="s">
        <v>27</v>
      </c>
      <c r="D67" s="3" t="s">
        <v>24</v>
      </c>
      <c r="E67" s="3" t="s">
        <v>7</v>
      </c>
      <c r="F67" s="3" t="s">
        <v>89</v>
      </c>
      <c r="G67" s="1" t="s">
        <v>258</v>
      </c>
    </row>
    <row r="68" spans="1:7" ht="18.75" x14ac:dyDescent="0.25">
      <c r="A68" s="3">
        <f t="shared" si="1"/>
        <v>67</v>
      </c>
      <c r="B68" s="3">
        <v>21186</v>
      </c>
      <c r="C68" s="3" t="s">
        <v>39</v>
      </c>
      <c r="D68" s="3" t="s">
        <v>35</v>
      </c>
      <c r="E68" s="3" t="s">
        <v>7</v>
      </c>
      <c r="F68" s="3" t="s">
        <v>88</v>
      </c>
      <c r="G68" s="1" t="s">
        <v>39</v>
      </c>
    </row>
    <row r="69" spans="1:7" ht="18.75" x14ac:dyDescent="0.25">
      <c r="A69" s="3">
        <f t="shared" si="1"/>
        <v>68</v>
      </c>
      <c r="B69" s="3">
        <v>21193</v>
      </c>
      <c r="C69" s="3" t="s">
        <v>78</v>
      </c>
      <c r="D69" s="3" t="s">
        <v>79</v>
      </c>
      <c r="E69" s="3" t="s">
        <v>73</v>
      </c>
      <c r="F69" s="3" t="s">
        <v>88</v>
      </c>
      <c r="G69" s="1" t="s">
        <v>159</v>
      </c>
    </row>
    <row r="70" spans="1:7" ht="18.75" x14ac:dyDescent="0.25">
      <c r="A70" s="3">
        <f t="shared" si="1"/>
        <v>69</v>
      </c>
      <c r="B70" s="3">
        <v>21195</v>
      </c>
      <c r="C70" s="3" t="s">
        <v>19</v>
      </c>
      <c r="D70" s="3" t="s">
        <v>20</v>
      </c>
      <c r="E70" s="3" t="s">
        <v>10</v>
      </c>
      <c r="F70" s="3" t="s">
        <v>88</v>
      </c>
      <c r="G70" s="1" t="s">
        <v>175</v>
      </c>
    </row>
    <row r="71" spans="1:7" ht="18.75" x14ac:dyDescent="0.25">
      <c r="A71" s="3">
        <f t="shared" si="1"/>
        <v>70</v>
      </c>
      <c r="B71" s="3">
        <v>21196</v>
      </c>
      <c r="C71" s="3" t="s">
        <v>57</v>
      </c>
      <c r="D71" s="3" t="s">
        <v>58</v>
      </c>
      <c r="E71" s="3" t="s">
        <v>7</v>
      </c>
      <c r="F71" s="3" t="s">
        <v>88</v>
      </c>
      <c r="G71" s="1" t="s">
        <v>211</v>
      </c>
    </row>
    <row r="72" spans="1:7" ht="18.75" x14ac:dyDescent="0.25">
      <c r="A72" s="3">
        <f t="shared" si="1"/>
        <v>71</v>
      </c>
      <c r="B72" s="3">
        <v>21209</v>
      </c>
      <c r="C72" s="3" t="s">
        <v>92</v>
      </c>
      <c r="D72" s="3" t="s">
        <v>76</v>
      </c>
      <c r="E72" s="3" t="s">
        <v>77</v>
      </c>
      <c r="F72" s="3" t="s">
        <v>88</v>
      </c>
      <c r="G72" s="1" t="s">
        <v>164</v>
      </c>
    </row>
    <row r="73" spans="1:7" ht="18.75" x14ac:dyDescent="0.25">
      <c r="A73" s="3">
        <f t="shared" si="1"/>
        <v>72</v>
      </c>
      <c r="B73" s="3">
        <v>21216</v>
      </c>
      <c r="C73" s="3" t="s">
        <v>436</v>
      </c>
      <c r="D73" s="3" t="s">
        <v>15</v>
      </c>
      <c r="E73" s="3" t="s">
        <v>10</v>
      </c>
      <c r="F73" s="3" t="s">
        <v>88</v>
      </c>
      <c r="G73" s="1" t="s">
        <v>437</v>
      </c>
    </row>
    <row r="74" spans="1:7" ht="18.75" x14ac:dyDescent="0.25">
      <c r="A74" s="3">
        <f t="shared" si="1"/>
        <v>73</v>
      </c>
      <c r="B74" s="3">
        <v>21218</v>
      </c>
      <c r="C74" s="3" t="s">
        <v>146</v>
      </c>
      <c r="D74" s="3" t="s">
        <v>15</v>
      </c>
      <c r="E74" s="3" t="s">
        <v>10</v>
      </c>
      <c r="F74" s="3" t="s">
        <v>88</v>
      </c>
      <c r="G74" s="1" t="s">
        <v>168</v>
      </c>
    </row>
    <row r="75" spans="1:7" ht="18.75" x14ac:dyDescent="0.25">
      <c r="A75" s="3">
        <f t="shared" si="1"/>
        <v>74</v>
      </c>
      <c r="B75" s="3">
        <v>21219</v>
      </c>
      <c r="C75" s="3" t="s">
        <v>28</v>
      </c>
      <c r="D75" s="3" t="s">
        <v>24</v>
      </c>
      <c r="E75" s="3" t="s">
        <v>7</v>
      </c>
      <c r="F75" s="3" t="s">
        <v>89</v>
      </c>
      <c r="G75" s="1" t="s">
        <v>259</v>
      </c>
    </row>
    <row r="76" spans="1:7" ht="18.75" x14ac:dyDescent="0.25">
      <c r="A76" s="3">
        <f t="shared" si="1"/>
        <v>75</v>
      </c>
      <c r="B76" s="3">
        <v>21220</v>
      </c>
      <c r="C76" s="3" t="s">
        <v>61</v>
      </c>
      <c r="D76" s="3" t="s">
        <v>62</v>
      </c>
      <c r="E76" s="3" t="s">
        <v>7</v>
      </c>
      <c r="F76" s="3" t="s">
        <v>88</v>
      </c>
      <c r="G76" s="1" t="s">
        <v>225</v>
      </c>
    </row>
    <row r="77" spans="1:7" ht="18.75" x14ac:dyDescent="0.25">
      <c r="A77" s="3">
        <f t="shared" si="1"/>
        <v>76</v>
      </c>
      <c r="B77" s="3">
        <v>21222</v>
      </c>
      <c r="C77" s="3" t="s">
        <v>75</v>
      </c>
      <c r="D77" s="3" t="s">
        <v>76</v>
      </c>
      <c r="E77" s="3" t="s">
        <v>77</v>
      </c>
      <c r="F77" s="3" t="s">
        <v>88</v>
      </c>
      <c r="G77" s="1" t="s">
        <v>165</v>
      </c>
    </row>
    <row r="78" spans="1:7" ht="18.75" x14ac:dyDescent="0.25">
      <c r="A78" s="3">
        <f t="shared" si="1"/>
        <v>77</v>
      </c>
      <c r="B78" s="3">
        <v>21226</v>
      </c>
      <c r="C78" s="3" t="s">
        <v>255</v>
      </c>
      <c r="D78" s="3" t="s">
        <v>24</v>
      </c>
      <c r="E78" s="3" t="s">
        <v>7</v>
      </c>
      <c r="F78" s="3" t="s">
        <v>89</v>
      </c>
      <c r="G78" s="1" t="s">
        <v>256</v>
      </c>
    </row>
    <row r="79" spans="1:7" ht="18.75" x14ac:dyDescent="0.25">
      <c r="A79" s="3">
        <f t="shared" si="1"/>
        <v>78</v>
      </c>
      <c r="B79" s="3">
        <v>21228</v>
      </c>
      <c r="C79" s="3" t="s">
        <v>67</v>
      </c>
      <c r="D79" s="3" t="s">
        <v>68</v>
      </c>
      <c r="E79" s="3" t="s">
        <v>7</v>
      </c>
      <c r="F79" s="3" t="s">
        <v>88</v>
      </c>
      <c r="G79" s="1" t="s">
        <v>239</v>
      </c>
    </row>
    <row r="80" spans="1:7" ht="18.75" x14ac:dyDescent="0.25">
      <c r="A80" s="3">
        <f t="shared" si="1"/>
        <v>79</v>
      </c>
      <c r="B80" s="3">
        <v>21241</v>
      </c>
      <c r="C80" s="3" t="s">
        <v>131</v>
      </c>
      <c r="D80" s="3" t="s">
        <v>24</v>
      </c>
      <c r="E80" s="3" t="s">
        <v>7</v>
      </c>
      <c r="F80" s="3" t="s">
        <v>88</v>
      </c>
      <c r="G80" s="1" t="s">
        <v>252</v>
      </c>
    </row>
    <row r="81" spans="1:7" ht="18.75" x14ac:dyDescent="0.25">
      <c r="A81" s="3">
        <f t="shared" si="1"/>
        <v>80</v>
      </c>
      <c r="B81" s="3">
        <v>21242</v>
      </c>
      <c r="C81" s="3" t="s">
        <v>121</v>
      </c>
      <c r="D81" s="3" t="s">
        <v>20</v>
      </c>
      <c r="E81" s="3" t="s">
        <v>10</v>
      </c>
      <c r="F81" s="3" t="s">
        <v>88</v>
      </c>
      <c r="G81" s="1" t="s">
        <v>176</v>
      </c>
    </row>
    <row r="82" spans="1:7" ht="18.75" x14ac:dyDescent="0.25">
      <c r="A82" s="3">
        <f t="shared" si="1"/>
        <v>81</v>
      </c>
      <c r="B82" s="3">
        <v>21247</v>
      </c>
      <c r="C82" s="3" t="s">
        <v>44</v>
      </c>
      <c r="D82" s="3" t="s">
        <v>43</v>
      </c>
      <c r="E82" s="3" t="s">
        <v>7</v>
      </c>
      <c r="F82" s="3" t="s">
        <v>88</v>
      </c>
      <c r="G82" s="1" t="s">
        <v>198</v>
      </c>
    </row>
    <row r="83" spans="1:7" ht="18.75" x14ac:dyDescent="0.25">
      <c r="A83" s="3">
        <f t="shared" si="1"/>
        <v>82</v>
      </c>
      <c r="B83" s="3">
        <v>21261</v>
      </c>
      <c r="C83" s="3" t="s">
        <v>284</v>
      </c>
      <c r="D83" s="3" t="s">
        <v>35</v>
      </c>
      <c r="E83" s="3" t="s">
        <v>7</v>
      </c>
      <c r="F83" s="3" t="s">
        <v>88</v>
      </c>
      <c r="G83" s="1" t="s">
        <v>285</v>
      </c>
    </row>
    <row r="84" spans="1:7" ht="18.75" x14ac:dyDescent="0.25">
      <c r="A84" s="3">
        <f t="shared" si="1"/>
        <v>83</v>
      </c>
      <c r="B84" s="3">
        <v>21264</v>
      </c>
      <c r="C84" s="3" t="s">
        <v>71</v>
      </c>
      <c r="D84" s="3" t="s">
        <v>72</v>
      </c>
      <c r="E84" s="3" t="s">
        <v>73</v>
      </c>
      <c r="F84" s="3" t="s">
        <v>88</v>
      </c>
      <c r="G84" s="1" t="s">
        <v>183</v>
      </c>
    </row>
    <row r="85" spans="1:7" ht="18.75" x14ac:dyDescent="0.25">
      <c r="A85" s="3">
        <f t="shared" si="1"/>
        <v>84</v>
      </c>
      <c r="B85" s="3">
        <v>21305</v>
      </c>
      <c r="C85" s="3" t="s">
        <v>48</v>
      </c>
      <c r="D85" s="3" t="s">
        <v>49</v>
      </c>
      <c r="E85" s="3" t="s">
        <v>7</v>
      </c>
      <c r="F85" s="3" t="s">
        <v>88</v>
      </c>
      <c r="G85" s="1" t="s">
        <v>220</v>
      </c>
    </row>
    <row r="86" spans="1:7" ht="18.75" x14ac:dyDescent="0.25">
      <c r="A86" s="3">
        <f t="shared" si="1"/>
        <v>85</v>
      </c>
      <c r="B86" s="3">
        <v>21311</v>
      </c>
      <c r="C86" s="3" t="s">
        <v>96</v>
      </c>
      <c r="D86" s="3" t="s">
        <v>43</v>
      </c>
      <c r="E86" s="3" t="s">
        <v>7</v>
      </c>
      <c r="F86" s="3" t="s">
        <v>88</v>
      </c>
      <c r="G86" s="1" t="s">
        <v>96</v>
      </c>
    </row>
    <row r="87" spans="1:7" ht="18.75" x14ac:dyDescent="0.25">
      <c r="A87" s="3">
        <f t="shared" si="1"/>
        <v>86</v>
      </c>
      <c r="B87" s="3">
        <v>21312</v>
      </c>
      <c r="C87" s="3" t="s">
        <v>23</v>
      </c>
      <c r="D87" s="3" t="s">
        <v>24</v>
      </c>
      <c r="E87" s="3" t="s">
        <v>7</v>
      </c>
      <c r="F87" s="3" t="s">
        <v>89</v>
      </c>
      <c r="G87" s="1" t="s">
        <v>245</v>
      </c>
    </row>
    <row r="88" spans="1:7" ht="18.75" x14ac:dyDescent="0.25">
      <c r="A88" s="3">
        <f t="shared" si="1"/>
        <v>87</v>
      </c>
      <c r="B88" s="3">
        <v>21323</v>
      </c>
      <c r="C88" s="3" t="s">
        <v>297</v>
      </c>
      <c r="D88" s="3" t="s">
        <v>12</v>
      </c>
      <c r="E88" s="3" t="s">
        <v>10</v>
      </c>
      <c r="F88" s="3" t="s">
        <v>88</v>
      </c>
      <c r="G88" s="1" t="s">
        <v>298</v>
      </c>
    </row>
    <row r="89" spans="1:7" ht="18.75" x14ac:dyDescent="0.25">
      <c r="A89" s="3">
        <f t="shared" si="1"/>
        <v>88</v>
      </c>
      <c r="B89" s="3">
        <v>21324</v>
      </c>
      <c r="C89" s="3" t="s">
        <v>295</v>
      </c>
      <c r="D89" s="3" t="s">
        <v>12</v>
      </c>
      <c r="E89" s="3" t="s">
        <v>10</v>
      </c>
      <c r="F89" s="3" t="s">
        <v>88</v>
      </c>
      <c r="G89" s="1" t="s">
        <v>296</v>
      </c>
    </row>
    <row r="90" spans="1:7" ht="18.75" x14ac:dyDescent="0.25">
      <c r="A90" s="3">
        <f t="shared" si="1"/>
        <v>89</v>
      </c>
      <c r="B90" s="3">
        <v>21325</v>
      </c>
      <c r="C90" s="3" t="s">
        <v>17</v>
      </c>
      <c r="D90" s="3" t="s">
        <v>18</v>
      </c>
      <c r="E90" s="3" t="s">
        <v>10</v>
      </c>
      <c r="F90" s="3" t="s">
        <v>88</v>
      </c>
      <c r="G90" s="1" t="s">
        <v>178</v>
      </c>
    </row>
    <row r="91" spans="1:7" ht="18.75" x14ac:dyDescent="0.25">
      <c r="A91" s="3">
        <f t="shared" si="1"/>
        <v>90</v>
      </c>
      <c r="B91" s="3">
        <v>21331</v>
      </c>
      <c r="C91" s="3" t="s">
        <v>269</v>
      </c>
      <c r="D91" s="3" t="s">
        <v>58</v>
      </c>
      <c r="E91" s="3" t="s">
        <v>7</v>
      </c>
      <c r="F91" s="3" t="s">
        <v>88</v>
      </c>
      <c r="G91" s="1" t="s">
        <v>270</v>
      </c>
    </row>
    <row r="92" spans="1:7" ht="18.75" x14ac:dyDescent="0.25">
      <c r="A92" s="3">
        <f t="shared" si="1"/>
        <v>91</v>
      </c>
      <c r="B92" s="3">
        <v>21337</v>
      </c>
      <c r="C92" s="3" t="s">
        <v>32</v>
      </c>
      <c r="D92" s="3" t="s">
        <v>24</v>
      </c>
      <c r="E92" s="3" t="s">
        <v>7</v>
      </c>
      <c r="F92" s="3" t="s">
        <v>89</v>
      </c>
      <c r="G92" s="1" t="s">
        <v>265</v>
      </c>
    </row>
    <row r="93" spans="1:7" ht="18.75" x14ac:dyDescent="0.25">
      <c r="A93" s="3">
        <f t="shared" si="1"/>
        <v>92</v>
      </c>
      <c r="B93" s="3">
        <v>21343</v>
      </c>
      <c r="C93" s="3" t="s">
        <v>353</v>
      </c>
      <c r="D93" s="3" t="s">
        <v>354</v>
      </c>
      <c r="E93" s="3" t="s">
        <v>83</v>
      </c>
      <c r="F93" s="3" t="s">
        <v>88</v>
      </c>
      <c r="G93" s="1" t="s">
        <v>355</v>
      </c>
    </row>
    <row r="94" spans="1:7" ht="18.75" x14ac:dyDescent="0.25">
      <c r="A94" s="3">
        <f t="shared" si="1"/>
        <v>93</v>
      </c>
      <c r="B94" s="3">
        <v>21356</v>
      </c>
      <c r="C94" s="3" t="s">
        <v>26</v>
      </c>
      <c r="D94" s="3" t="s">
        <v>24</v>
      </c>
      <c r="E94" s="3" t="s">
        <v>7</v>
      </c>
      <c r="F94" s="3" t="s">
        <v>89</v>
      </c>
      <c r="G94" s="1" t="s">
        <v>257</v>
      </c>
    </row>
    <row r="95" spans="1:7" ht="18.75" x14ac:dyDescent="0.25">
      <c r="A95" s="3">
        <f t="shared" si="1"/>
        <v>94</v>
      </c>
      <c r="B95" s="3">
        <v>21374</v>
      </c>
      <c r="C95" s="3" t="s">
        <v>31</v>
      </c>
      <c r="D95" s="3" t="s">
        <v>24</v>
      </c>
      <c r="E95" s="3" t="s">
        <v>7</v>
      </c>
      <c r="F95" s="3" t="s">
        <v>89</v>
      </c>
      <c r="G95" s="1" t="s">
        <v>264</v>
      </c>
    </row>
    <row r="96" spans="1:7" ht="18.75" x14ac:dyDescent="0.25">
      <c r="A96" s="3">
        <f t="shared" si="1"/>
        <v>95</v>
      </c>
      <c r="B96" s="3">
        <v>21377</v>
      </c>
      <c r="C96" s="3" t="s">
        <v>124</v>
      </c>
      <c r="D96" s="3" t="s">
        <v>35</v>
      </c>
      <c r="E96" s="3" t="s">
        <v>7</v>
      </c>
      <c r="F96" s="3" t="s">
        <v>88</v>
      </c>
      <c r="G96" s="1" t="s">
        <v>202</v>
      </c>
    </row>
    <row r="97" spans="1:7" ht="18.75" x14ac:dyDescent="0.25">
      <c r="A97" s="3">
        <f t="shared" si="1"/>
        <v>96</v>
      </c>
      <c r="B97" s="3">
        <v>21378</v>
      </c>
      <c r="C97" s="3" t="s">
        <v>25</v>
      </c>
      <c r="D97" s="3" t="s">
        <v>24</v>
      </c>
      <c r="E97" s="3" t="s">
        <v>7</v>
      </c>
      <c r="F97" s="3" t="s">
        <v>89</v>
      </c>
      <c r="G97" s="1" t="s">
        <v>253</v>
      </c>
    </row>
    <row r="98" spans="1:7" ht="18.75" x14ac:dyDescent="0.25">
      <c r="A98" s="3">
        <f t="shared" si="1"/>
        <v>97</v>
      </c>
      <c r="B98" s="3">
        <v>21381</v>
      </c>
      <c r="C98" s="3" t="s">
        <v>151</v>
      </c>
      <c r="D98" s="3" t="s">
        <v>41</v>
      </c>
      <c r="E98" s="3" t="s">
        <v>7</v>
      </c>
      <c r="F98" s="3" t="s">
        <v>88</v>
      </c>
      <c r="G98" s="1" t="s">
        <v>195</v>
      </c>
    </row>
    <row r="99" spans="1:7" ht="18.75" x14ac:dyDescent="0.25">
      <c r="A99" s="3">
        <f t="shared" si="1"/>
        <v>98</v>
      </c>
      <c r="B99" s="3">
        <v>21390</v>
      </c>
      <c r="C99" s="3" t="s">
        <v>45</v>
      </c>
      <c r="D99" s="3" t="s">
        <v>46</v>
      </c>
      <c r="E99" s="3" t="s">
        <v>7</v>
      </c>
      <c r="F99" s="3" t="s">
        <v>88</v>
      </c>
      <c r="G99" s="1" t="s">
        <v>230</v>
      </c>
    </row>
    <row r="100" spans="1:7" ht="18.75" x14ac:dyDescent="0.25">
      <c r="A100" s="3">
        <f t="shared" si="1"/>
        <v>99</v>
      </c>
      <c r="B100" s="3">
        <v>21391</v>
      </c>
      <c r="C100" s="3" t="s">
        <v>282</v>
      </c>
      <c r="D100" s="3" t="s">
        <v>35</v>
      </c>
      <c r="E100" s="3" t="s">
        <v>7</v>
      </c>
      <c r="F100" s="3" t="s">
        <v>88</v>
      </c>
      <c r="G100" s="1" t="s">
        <v>283</v>
      </c>
    </row>
    <row r="101" spans="1:7" ht="18.75" x14ac:dyDescent="0.25">
      <c r="A101" s="3">
        <f t="shared" si="1"/>
        <v>100</v>
      </c>
      <c r="B101" s="3">
        <v>21395</v>
      </c>
      <c r="C101" s="3" t="s">
        <v>106</v>
      </c>
      <c r="D101" s="3" t="s">
        <v>107</v>
      </c>
      <c r="E101" s="3" t="s">
        <v>7</v>
      </c>
      <c r="F101" s="3" t="s">
        <v>88</v>
      </c>
      <c r="G101" s="1" t="s">
        <v>222</v>
      </c>
    </row>
    <row r="102" spans="1:7" ht="18.75" x14ac:dyDescent="0.25">
      <c r="A102" s="3">
        <f t="shared" si="1"/>
        <v>101</v>
      </c>
      <c r="B102" s="3">
        <v>21404</v>
      </c>
      <c r="C102" s="3" t="s">
        <v>94</v>
      </c>
      <c r="D102" s="3" t="s">
        <v>95</v>
      </c>
      <c r="E102" s="3" t="s">
        <v>10</v>
      </c>
      <c r="F102" s="3" t="s">
        <v>88</v>
      </c>
      <c r="G102" s="1" t="s">
        <v>166</v>
      </c>
    </row>
    <row r="103" spans="1:7" ht="18.75" x14ac:dyDescent="0.25">
      <c r="A103" s="3">
        <f t="shared" si="1"/>
        <v>102</v>
      </c>
      <c r="B103" s="3">
        <v>21405</v>
      </c>
      <c r="C103" s="3" t="s">
        <v>91</v>
      </c>
      <c r="D103" s="3" t="s">
        <v>24</v>
      </c>
      <c r="E103" s="3" t="s">
        <v>7</v>
      </c>
      <c r="F103" s="3" t="s">
        <v>89</v>
      </c>
      <c r="G103" s="1" t="s">
        <v>254</v>
      </c>
    </row>
    <row r="104" spans="1:7" ht="18.75" x14ac:dyDescent="0.25">
      <c r="A104" s="3">
        <f t="shared" si="1"/>
        <v>103</v>
      </c>
      <c r="B104" s="3">
        <v>21407</v>
      </c>
      <c r="C104" s="3" t="s">
        <v>74</v>
      </c>
      <c r="D104" s="3" t="s">
        <v>430</v>
      </c>
      <c r="E104" s="3" t="s">
        <v>73</v>
      </c>
      <c r="F104" s="3" t="s">
        <v>88</v>
      </c>
      <c r="G104" s="1" t="s">
        <v>181</v>
      </c>
    </row>
    <row r="105" spans="1:7" ht="18.75" x14ac:dyDescent="0.25">
      <c r="A105" s="3">
        <f t="shared" si="1"/>
        <v>104</v>
      </c>
      <c r="B105" s="3">
        <v>21409</v>
      </c>
      <c r="C105" s="3" t="s">
        <v>59</v>
      </c>
      <c r="D105" s="3" t="s">
        <v>60</v>
      </c>
      <c r="E105" s="3" t="s">
        <v>7</v>
      </c>
      <c r="F105" s="3" t="s">
        <v>88</v>
      </c>
      <c r="G105" s="3" t="s">
        <v>210</v>
      </c>
    </row>
    <row r="106" spans="1:7" ht="18.75" x14ac:dyDescent="0.25">
      <c r="A106" s="3">
        <f t="shared" si="1"/>
        <v>105</v>
      </c>
      <c r="B106" s="3">
        <v>21411</v>
      </c>
      <c r="C106" s="3" t="s">
        <v>338</v>
      </c>
      <c r="D106" s="3" t="s">
        <v>35</v>
      </c>
      <c r="E106" s="3" t="s">
        <v>7</v>
      </c>
      <c r="F106" s="3" t="s">
        <v>88</v>
      </c>
      <c r="G106" s="3" t="s">
        <v>339</v>
      </c>
    </row>
    <row r="107" spans="1:7" ht="18.75" x14ac:dyDescent="0.25">
      <c r="A107" s="3">
        <f t="shared" si="1"/>
        <v>106</v>
      </c>
      <c r="B107" s="3">
        <v>21412</v>
      </c>
      <c r="C107" s="3" t="s">
        <v>34</v>
      </c>
      <c r="D107" s="3" t="s">
        <v>35</v>
      </c>
      <c r="E107" s="3" t="s">
        <v>7</v>
      </c>
      <c r="F107" s="3" t="s">
        <v>88</v>
      </c>
      <c r="G107" s="3" t="s">
        <v>203</v>
      </c>
    </row>
    <row r="108" spans="1:7" ht="18.75" x14ac:dyDescent="0.25">
      <c r="A108" s="3">
        <f t="shared" si="1"/>
        <v>107</v>
      </c>
      <c r="B108" s="3">
        <v>21413</v>
      </c>
      <c r="C108" s="3" t="s">
        <v>101</v>
      </c>
      <c r="D108" s="3" t="s">
        <v>35</v>
      </c>
      <c r="E108" s="3" t="s">
        <v>7</v>
      </c>
      <c r="F108" s="3" t="s">
        <v>88</v>
      </c>
      <c r="G108" s="3" t="s">
        <v>204</v>
      </c>
    </row>
    <row r="109" spans="1:7" ht="18.75" x14ac:dyDescent="0.25">
      <c r="A109" s="3">
        <f t="shared" si="1"/>
        <v>108</v>
      </c>
      <c r="B109" s="3">
        <v>21422</v>
      </c>
      <c r="C109" s="3" t="s">
        <v>442</v>
      </c>
      <c r="D109" s="3" t="s">
        <v>43</v>
      </c>
      <c r="E109" s="3" t="s">
        <v>7</v>
      </c>
      <c r="F109" s="3" t="s">
        <v>88</v>
      </c>
      <c r="G109" s="3" t="s">
        <v>443</v>
      </c>
    </row>
    <row r="110" spans="1:7" ht="18.75" x14ac:dyDescent="0.25">
      <c r="A110" s="3">
        <f t="shared" si="1"/>
        <v>109</v>
      </c>
      <c r="B110" s="3">
        <v>21424</v>
      </c>
      <c r="C110" s="3" t="s">
        <v>112</v>
      </c>
      <c r="D110" s="3" t="s">
        <v>43</v>
      </c>
      <c r="E110" s="3" t="s">
        <v>7</v>
      </c>
      <c r="F110" s="3" t="s">
        <v>88</v>
      </c>
      <c r="G110" s="3" t="s">
        <v>112</v>
      </c>
    </row>
    <row r="111" spans="1:7" ht="18.75" x14ac:dyDescent="0.25">
      <c r="A111" s="3">
        <f t="shared" si="1"/>
        <v>110</v>
      </c>
      <c r="B111" s="3">
        <v>21425</v>
      </c>
      <c r="C111" s="3" t="s">
        <v>111</v>
      </c>
      <c r="D111" s="3" t="s">
        <v>70</v>
      </c>
      <c r="E111" s="3" t="s">
        <v>7</v>
      </c>
      <c r="F111" s="3" t="s">
        <v>88</v>
      </c>
      <c r="G111" s="3" t="s">
        <v>189</v>
      </c>
    </row>
    <row r="112" spans="1:7" ht="18.75" x14ac:dyDescent="0.25">
      <c r="A112" s="3">
        <f t="shared" si="1"/>
        <v>111</v>
      </c>
      <c r="B112" s="3">
        <v>21431</v>
      </c>
      <c r="C112" s="3" t="s">
        <v>126</v>
      </c>
      <c r="D112" s="3" t="s">
        <v>20</v>
      </c>
      <c r="E112" s="3" t="s">
        <v>10</v>
      </c>
      <c r="F112" s="3" t="s">
        <v>88</v>
      </c>
      <c r="G112" s="3" t="s">
        <v>177</v>
      </c>
    </row>
    <row r="113" spans="1:7" ht="18.75" x14ac:dyDescent="0.25">
      <c r="A113" s="3">
        <f t="shared" si="1"/>
        <v>112</v>
      </c>
      <c r="B113" s="3">
        <v>21433</v>
      </c>
      <c r="C113" s="3" t="s">
        <v>122</v>
      </c>
      <c r="D113" s="3" t="s">
        <v>70</v>
      </c>
      <c r="E113" s="3" t="s">
        <v>7</v>
      </c>
      <c r="F113" s="3" t="s">
        <v>88</v>
      </c>
      <c r="G113" s="3" t="s">
        <v>190</v>
      </c>
    </row>
    <row r="114" spans="1:7" ht="18.75" x14ac:dyDescent="0.25">
      <c r="A114" s="3">
        <f t="shared" si="1"/>
        <v>113</v>
      </c>
      <c r="B114" s="3">
        <v>21439</v>
      </c>
      <c r="C114" s="3" t="s">
        <v>100</v>
      </c>
      <c r="D114" s="3" t="s">
        <v>81</v>
      </c>
      <c r="E114" s="3" t="s">
        <v>73</v>
      </c>
      <c r="F114" s="3" t="s">
        <v>88</v>
      </c>
      <c r="G114" s="3" t="s">
        <v>185</v>
      </c>
    </row>
    <row r="115" spans="1:7" ht="18.75" x14ac:dyDescent="0.25">
      <c r="A115" s="3">
        <f t="shared" si="1"/>
        <v>114</v>
      </c>
      <c r="B115" s="3">
        <v>21442</v>
      </c>
      <c r="C115" s="3" t="s">
        <v>103</v>
      </c>
      <c r="D115" s="3" t="s">
        <v>104</v>
      </c>
      <c r="E115" s="3" t="s">
        <v>105</v>
      </c>
      <c r="F115" s="3" t="s">
        <v>88</v>
      </c>
      <c r="G115" s="3" t="s">
        <v>180</v>
      </c>
    </row>
    <row r="116" spans="1:7" ht="18.75" x14ac:dyDescent="0.25">
      <c r="A116" s="3">
        <f t="shared" si="1"/>
        <v>115</v>
      </c>
      <c r="B116" s="3">
        <v>21445</v>
      </c>
      <c r="C116" s="3" t="s">
        <v>98</v>
      </c>
      <c r="D116" s="3" t="s">
        <v>58</v>
      </c>
      <c r="E116" s="3" t="s">
        <v>7</v>
      </c>
      <c r="F116" s="3" t="s">
        <v>89</v>
      </c>
      <c r="G116" s="3" t="s">
        <v>217</v>
      </c>
    </row>
    <row r="117" spans="1:7" ht="18.75" x14ac:dyDescent="0.25">
      <c r="A117" s="3">
        <f t="shared" si="1"/>
        <v>116</v>
      </c>
      <c r="B117" s="3">
        <v>21448</v>
      </c>
      <c r="C117" s="3" t="s">
        <v>99</v>
      </c>
      <c r="D117" s="3" t="s">
        <v>58</v>
      </c>
      <c r="E117" s="3" t="s">
        <v>7</v>
      </c>
      <c r="F117" s="3" t="s">
        <v>89</v>
      </c>
      <c r="G117" s="3" t="s">
        <v>216</v>
      </c>
    </row>
    <row r="118" spans="1:7" ht="18.75" x14ac:dyDescent="0.25">
      <c r="A118" s="3">
        <f t="shared" si="1"/>
        <v>117</v>
      </c>
      <c r="B118" s="3">
        <v>21449</v>
      </c>
      <c r="C118" s="3" t="s">
        <v>212</v>
      </c>
      <c r="D118" s="3" t="s">
        <v>58</v>
      </c>
      <c r="E118" s="3" t="s">
        <v>7</v>
      </c>
      <c r="F118" s="3" t="s">
        <v>88</v>
      </c>
      <c r="G118" s="3" t="s">
        <v>213</v>
      </c>
    </row>
    <row r="119" spans="1:7" ht="18.75" x14ac:dyDescent="0.25">
      <c r="A119" s="3">
        <f t="shared" si="1"/>
        <v>118</v>
      </c>
      <c r="B119" s="3">
        <v>21451</v>
      </c>
      <c r="C119" s="3" t="s">
        <v>102</v>
      </c>
      <c r="D119" s="3" t="s">
        <v>430</v>
      </c>
      <c r="E119" s="3" t="s">
        <v>73</v>
      </c>
      <c r="F119" s="3" t="s">
        <v>88</v>
      </c>
      <c r="G119" s="3" t="s">
        <v>182</v>
      </c>
    </row>
    <row r="120" spans="1:7" ht="18.75" x14ac:dyDescent="0.25">
      <c r="A120" s="3">
        <f t="shared" si="1"/>
        <v>119</v>
      </c>
      <c r="B120" s="3">
        <v>21453</v>
      </c>
      <c r="C120" s="3" t="s">
        <v>127</v>
      </c>
      <c r="D120" s="3" t="s">
        <v>41</v>
      </c>
      <c r="E120" s="3" t="s">
        <v>7</v>
      </c>
      <c r="F120" s="3" t="s">
        <v>88</v>
      </c>
      <c r="G120" s="3" t="s">
        <v>196</v>
      </c>
    </row>
    <row r="121" spans="1:7" ht="18.75" x14ac:dyDescent="0.25">
      <c r="A121" s="3">
        <f t="shared" si="1"/>
        <v>120</v>
      </c>
      <c r="B121" s="3">
        <v>21454</v>
      </c>
      <c r="C121" s="3" t="s">
        <v>125</v>
      </c>
      <c r="D121" s="3" t="s">
        <v>133</v>
      </c>
      <c r="E121" s="3" t="s">
        <v>134</v>
      </c>
      <c r="F121" s="3" t="s">
        <v>88</v>
      </c>
      <c r="G121" s="3" t="s">
        <v>157</v>
      </c>
    </row>
    <row r="122" spans="1:7" ht="18.75" x14ac:dyDescent="0.25">
      <c r="A122" s="3">
        <f t="shared" si="1"/>
        <v>121</v>
      </c>
      <c r="B122" s="3">
        <v>21464</v>
      </c>
      <c r="C122" s="3" t="s">
        <v>153</v>
      </c>
      <c r="D122" s="3" t="s">
        <v>35</v>
      </c>
      <c r="E122" s="3" t="s">
        <v>7</v>
      </c>
      <c r="F122" s="3" t="s">
        <v>88</v>
      </c>
      <c r="G122" s="3" t="s">
        <v>205</v>
      </c>
    </row>
    <row r="123" spans="1:7" ht="18.75" x14ac:dyDescent="0.25">
      <c r="A123" s="3">
        <f t="shared" si="1"/>
        <v>122</v>
      </c>
      <c r="B123" s="3">
        <v>21465</v>
      </c>
      <c r="C123" s="3" t="s">
        <v>313</v>
      </c>
      <c r="D123" s="3" t="s">
        <v>314</v>
      </c>
      <c r="E123" s="3" t="s">
        <v>10</v>
      </c>
      <c r="F123" s="3" t="s">
        <v>88</v>
      </c>
      <c r="G123" s="3" t="s">
        <v>315</v>
      </c>
    </row>
    <row r="124" spans="1:7" ht="18.75" x14ac:dyDescent="0.25">
      <c r="A124" s="3">
        <f t="shared" si="1"/>
        <v>123</v>
      </c>
      <c r="B124" s="3">
        <v>21470</v>
      </c>
      <c r="C124" s="3" t="s">
        <v>109</v>
      </c>
      <c r="D124" s="3" t="s">
        <v>24</v>
      </c>
      <c r="E124" s="3" t="s">
        <v>7</v>
      </c>
      <c r="F124" s="3" t="s">
        <v>88</v>
      </c>
      <c r="G124" s="3" t="s">
        <v>249</v>
      </c>
    </row>
    <row r="125" spans="1:7" ht="18.75" x14ac:dyDescent="0.25">
      <c r="A125" s="3">
        <f t="shared" si="1"/>
        <v>124</v>
      </c>
      <c r="B125" s="3">
        <v>21474</v>
      </c>
      <c r="C125" s="3" t="s">
        <v>110</v>
      </c>
      <c r="D125" s="3" t="s">
        <v>70</v>
      </c>
      <c r="E125" s="3" t="s">
        <v>7</v>
      </c>
      <c r="F125" s="3" t="s">
        <v>88</v>
      </c>
      <c r="G125" s="3" t="s">
        <v>191</v>
      </c>
    </row>
    <row r="126" spans="1:7" ht="18.75" x14ac:dyDescent="0.25">
      <c r="A126" s="3">
        <f t="shared" si="1"/>
        <v>125</v>
      </c>
      <c r="B126" s="3">
        <v>21476</v>
      </c>
      <c r="C126" s="3" t="s">
        <v>136</v>
      </c>
      <c r="D126" s="3" t="s">
        <v>68</v>
      </c>
      <c r="E126" s="3" t="s">
        <v>7</v>
      </c>
      <c r="F126" s="3" t="s">
        <v>88</v>
      </c>
      <c r="G126" s="3" t="s">
        <v>241</v>
      </c>
    </row>
    <row r="127" spans="1:7" ht="18.75" x14ac:dyDescent="0.25">
      <c r="A127" s="3">
        <f t="shared" si="1"/>
        <v>126</v>
      </c>
      <c r="B127" s="3">
        <v>21477</v>
      </c>
      <c r="C127" s="3" t="s">
        <v>108</v>
      </c>
      <c r="D127" s="3" t="s">
        <v>24</v>
      </c>
      <c r="E127" s="3" t="s">
        <v>7</v>
      </c>
      <c r="F127" s="3" t="s">
        <v>88</v>
      </c>
      <c r="G127" s="3" t="s">
        <v>263</v>
      </c>
    </row>
    <row r="128" spans="1:7" ht="18.75" x14ac:dyDescent="0.25">
      <c r="A128" s="3">
        <f t="shared" si="1"/>
        <v>127</v>
      </c>
      <c r="B128" s="3">
        <v>21479</v>
      </c>
      <c r="C128" s="3" t="s">
        <v>417</v>
      </c>
      <c r="D128" s="3" t="s">
        <v>329</v>
      </c>
      <c r="E128" s="3" t="s">
        <v>7</v>
      </c>
      <c r="F128" s="3" t="s">
        <v>88</v>
      </c>
      <c r="G128" s="3" t="s">
        <v>418</v>
      </c>
    </row>
    <row r="129" spans="1:7" ht="18.75" x14ac:dyDescent="0.25">
      <c r="A129" s="3">
        <f t="shared" si="1"/>
        <v>128</v>
      </c>
      <c r="B129" s="3">
        <v>21484</v>
      </c>
      <c r="C129" s="3" t="s">
        <v>413</v>
      </c>
      <c r="D129" s="3" t="s">
        <v>329</v>
      </c>
      <c r="E129" s="3" t="s">
        <v>7</v>
      </c>
      <c r="F129" s="3" t="s">
        <v>88</v>
      </c>
      <c r="G129" s="3" t="s">
        <v>414</v>
      </c>
    </row>
    <row r="130" spans="1:7" ht="18.75" x14ac:dyDescent="0.25">
      <c r="A130" s="3">
        <f t="shared" ref="A130:A193" si="2">ROW()-1</f>
        <v>129</v>
      </c>
      <c r="B130" s="3">
        <v>21485</v>
      </c>
      <c r="C130" s="3" t="s">
        <v>405</v>
      </c>
      <c r="D130" s="3" t="s">
        <v>329</v>
      </c>
      <c r="E130" s="3" t="s">
        <v>7</v>
      </c>
      <c r="F130" s="3" t="s">
        <v>88</v>
      </c>
      <c r="G130" s="3" t="s">
        <v>406</v>
      </c>
    </row>
    <row r="131" spans="1:7" ht="18.75" x14ac:dyDescent="0.25">
      <c r="A131" s="3">
        <f t="shared" si="2"/>
        <v>130</v>
      </c>
      <c r="B131" s="3">
        <v>21488</v>
      </c>
      <c r="C131" s="3" t="s">
        <v>113</v>
      </c>
      <c r="D131" s="3" t="s">
        <v>68</v>
      </c>
      <c r="E131" s="3" t="s">
        <v>7</v>
      </c>
      <c r="F131" s="3" t="s">
        <v>88</v>
      </c>
      <c r="G131" s="3" t="s">
        <v>244</v>
      </c>
    </row>
    <row r="132" spans="1:7" ht="18.75" x14ac:dyDescent="0.25">
      <c r="A132" s="3">
        <f t="shared" si="2"/>
        <v>131</v>
      </c>
      <c r="B132" s="3">
        <v>21490</v>
      </c>
      <c r="C132" s="3" t="s">
        <v>118</v>
      </c>
      <c r="D132" s="3" t="s">
        <v>119</v>
      </c>
      <c r="E132" s="3" t="s">
        <v>10</v>
      </c>
      <c r="F132" s="3" t="s">
        <v>88</v>
      </c>
      <c r="G132" s="3" t="s">
        <v>169</v>
      </c>
    </row>
    <row r="133" spans="1:7" ht="18.75" x14ac:dyDescent="0.25">
      <c r="A133" s="3">
        <f t="shared" si="2"/>
        <v>132</v>
      </c>
      <c r="B133" s="3">
        <v>21492</v>
      </c>
      <c r="C133" s="3" t="s">
        <v>116</v>
      </c>
      <c r="D133" s="3" t="s">
        <v>68</v>
      </c>
      <c r="E133" s="3" t="s">
        <v>7</v>
      </c>
      <c r="F133" s="3" t="s">
        <v>88</v>
      </c>
      <c r="G133" s="3" t="s">
        <v>243</v>
      </c>
    </row>
    <row r="134" spans="1:7" ht="18.75" x14ac:dyDescent="0.25">
      <c r="A134" s="3">
        <f t="shared" si="2"/>
        <v>133</v>
      </c>
      <c r="B134" s="3">
        <v>21494</v>
      </c>
      <c r="C134" s="3" t="s">
        <v>407</v>
      </c>
      <c r="D134" s="3" t="s">
        <v>329</v>
      </c>
      <c r="E134" s="3" t="s">
        <v>7</v>
      </c>
      <c r="F134" s="3" t="s">
        <v>88</v>
      </c>
      <c r="G134" s="3" t="s">
        <v>408</v>
      </c>
    </row>
    <row r="135" spans="1:7" ht="18.75" x14ac:dyDescent="0.25">
      <c r="A135" s="3">
        <f t="shared" si="2"/>
        <v>134</v>
      </c>
      <c r="B135" s="3">
        <v>21495</v>
      </c>
      <c r="C135" s="3" t="s">
        <v>409</v>
      </c>
      <c r="D135" s="3" t="s">
        <v>329</v>
      </c>
      <c r="E135" s="3" t="s">
        <v>7</v>
      </c>
      <c r="F135" s="3" t="s">
        <v>88</v>
      </c>
      <c r="G135" s="3" t="s">
        <v>410</v>
      </c>
    </row>
    <row r="136" spans="1:7" ht="18.75" x14ac:dyDescent="0.25">
      <c r="A136" s="3">
        <f t="shared" si="2"/>
        <v>135</v>
      </c>
      <c r="B136" s="3">
        <v>21501</v>
      </c>
      <c r="C136" s="3" t="s">
        <v>415</v>
      </c>
      <c r="D136" s="3" t="s">
        <v>329</v>
      </c>
      <c r="E136" s="3" t="s">
        <v>7</v>
      </c>
      <c r="F136" s="3" t="s">
        <v>88</v>
      </c>
      <c r="G136" s="3" t="s">
        <v>416</v>
      </c>
    </row>
    <row r="137" spans="1:7" ht="18.75" x14ac:dyDescent="0.25">
      <c r="A137" s="3">
        <f t="shared" si="2"/>
        <v>136</v>
      </c>
      <c r="B137" s="3">
        <v>21502</v>
      </c>
      <c r="C137" s="3" t="s">
        <v>123</v>
      </c>
      <c r="D137" s="3" t="s">
        <v>24</v>
      </c>
      <c r="E137" s="3" t="s">
        <v>7</v>
      </c>
      <c r="F137" s="3" t="s">
        <v>88</v>
      </c>
      <c r="G137" s="3" t="s">
        <v>248</v>
      </c>
    </row>
    <row r="138" spans="1:7" ht="18.75" x14ac:dyDescent="0.25">
      <c r="A138" s="3">
        <f t="shared" si="2"/>
        <v>137</v>
      </c>
      <c r="B138" s="3">
        <v>21506</v>
      </c>
      <c r="C138" s="3" t="s">
        <v>246</v>
      </c>
      <c r="D138" s="3" t="s">
        <v>24</v>
      </c>
      <c r="E138" s="3" t="s">
        <v>7</v>
      </c>
      <c r="F138" s="3" t="s">
        <v>88</v>
      </c>
      <c r="G138" s="3" t="s">
        <v>247</v>
      </c>
    </row>
    <row r="139" spans="1:7" ht="18.75" x14ac:dyDescent="0.25">
      <c r="A139" s="3">
        <f t="shared" si="2"/>
        <v>138</v>
      </c>
      <c r="B139" s="3">
        <v>21507</v>
      </c>
      <c r="C139" s="3" t="s">
        <v>208</v>
      </c>
      <c r="D139" s="3" t="s">
        <v>35</v>
      </c>
      <c r="E139" s="3" t="s">
        <v>7</v>
      </c>
      <c r="F139" s="3" t="s">
        <v>88</v>
      </c>
      <c r="G139" s="3" t="s">
        <v>209</v>
      </c>
    </row>
    <row r="140" spans="1:7" ht="18.75" x14ac:dyDescent="0.25">
      <c r="A140" s="3">
        <f t="shared" si="2"/>
        <v>139</v>
      </c>
      <c r="B140" s="3">
        <v>21509</v>
      </c>
      <c r="C140" s="3" t="s">
        <v>132</v>
      </c>
      <c r="D140" s="3" t="s">
        <v>133</v>
      </c>
      <c r="E140" s="3" t="s">
        <v>134</v>
      </c>
      <c r="F140" s="3" t="s">
        <v>88</v>
      </c>
      <c r="G140" s="3" t="s">
        <v>158</v>
      </c>
    </row>
    <row r="141" spans="1:7" ht="18.75" x14ac:dyDescent="0.25">
      <c r="A141" s="3">
        <f t="shared" si="2"/>
        <v>140</v>
      </c>
      <c r="B141" s="3">
        <v>21511</v>
      </c>
      <c r="C141" s="3" t="s">
        <v>137</v>
      </c>
      <c r="D141" s="3" t="s">
        <v>58</v>
      </c>
      <c r="E141" s="3" t="s">
        <v>7</v>
      </c>
      <c r="F141" s="3" t="s">
        <v>88</v>
      </c>
      <c r="G141" s="3" t="s">
        <v>214</v>
      </c>
    </row>
    <row r="142" spans="1:7" ht="18.75" x14ac:dyDescent="0.25">
      <c r="A142" s="3">
        <f t="shared" si="2"/>
        <v>141</v>
      </c>
      <c r="B142" s="3">
        <v>21515</v>
      </c>
      <c r="C142" s="3" t="s">
        <v>411</v>
      </c>
      <c r="D142" s="3" t="s">
        <v>329</v>
      </c>
      <c r="E142" s="3" t="s">
        <v>7</v>
      </c>
      <c r="F142" s="3" t="s">
        <v>88</v>
      </c>
      <c r="G142" s="3" t="s">
        <v>412</v>
      </c>
    </row>
    <row r="143" spans="1:7" ht="18.75" x14ac:dyDescent="0.25">
      <c r="A143" s="3">
        <f t="shared" si="2"/>
        <v>142</v>
      </c>
      <c r="B143" s="3">
        <v>21517</v>
      </c>
      <c r="C143" s="3" t="s">
        <v>135</v>
      </c>
      <c r="D143" s="3" t="s">
        <v>107</v>
      </c>
      <c r="E143" s="3" t="s">
        <v>7</v>
      </c>
      <c r="F143" s="3" t="s">
        <v>88</v>
      </c>
      <c r="G143" s="3" t="s">
        <v>223</v>
      </c>
    </row>
    <row r="144" spans="1:7" ht="18.75" x14ac:dyDescent="0.25">
      <c r="A144" s="3">
        <f t="shared" si="2"/>
        <v>143</v>
      </c>
      <c r="B144" s="3">
        <v>21524</v>
      </c>
      <c r="C144" s="3" t="s">
        <v>128</v>
      </c>
      <c r="D144" s="3" t="s">
        <v>129</v>
      </c>
      <c r="E144" s="3" t="s">
        <v>10</v>
      </c>
      <c r="F144" s="3" t="s">
        <v>88</v>
      </c>
      <c r="G144" s="3" t="s">
        <v>173</v>
      </c>
    </row>
    <row r="145" spans="1:7" ht="18.75" x14ac:dyDescent="0.25">
      <c r="A145" s="3">
        <f t="shared" si="2"/>
        <v>144</v>
      </c>
      <c r="B145" s="3">
        <v>21527</v>
      </c>
      <c r="C145" s="3" t="s">
        <v>331</v>
      </c>
      <c r="D145" s="3" t="s">
        <v>329</v>
      </c>
      <c r="E145" s="3" t="s">
        <v>7</v>
      </c>
      <c r="F145" s="3" t="s">
        <v>88</v>
      </c>
      <c r="G145" s="3" t="s">
        <v>332</v>
      </c>
    </row>
    <row r="146" spans="1:7" ht="18.75" x14ac:dyDescent="0.25">
      <c r="A146" s="3">
        <f t="shared" si="2"/>
        <v>145</v>
      </c>
      <c r="B146" s="3">
        <v>21528</v>
      </c>
      <c r="C146" s="3" t="s">
        <v>328</v>
      </c>
      <c r="D146" s="3" t="s">
        <v>329</v>
      </c>
      <c r="E146" s="3" t="s">
        <v>7</v>
      </c>
      <c r="F146" s="3" t="s">
        <v>88</v>
      </c>
      <c r="G146" s="3" t="s">
        <v>330</v>
      </c>
    </row>
    <row r="147" spans="1:7" ht="18.75" x14ac:dyDescent="0.25">
      <c r="A147" s="3">
        <f t="shared" si="2"/>
        <v>146</v>
      </c>
      <c r="B147" s="3">
        <v>21553</v>
      </c>
      <c r="C147" s="3" t="s">
        <v>472</v>
      </c>
      <c r="D147" s="3" t="s">
        <v>64</v>
      </c>
      <c r="E147" s="3" t="s">
        <v>7</v>
      </c>
      <c r="F147" s="3" t="s">
        <v>88</v>
      </c>
      <c r="G147" s="3" t="s">
        <v>473</v>
      </c>
    </row>
    <row r="148" spans="1:7" ht="18.75" x14ac:dyDescent="0.25">
      <c r="A148" s="3">
        <f t="shared" si="2"/>
        <v>147</v>
      </c>
      <c r="B148" s="3">
        <v>21556</v>
      </c>
      <c r="C148" s="3" t="s">
        <v>138</v>
      </c>
      <c r="D148" s="3" t="s">
        <v>49</v>
      </c>
      <c r="E148" s="3" t="s">
        <v>7</v>
      </c>
      <c r="F148" s="3" t="s">
        <v>88</v>
      </c>
      <c r="G148" s="3" t="s">
        <v>219</v>
      </c>
    </row>
    <row r="149" spans="1:7" ht="18.75" x14ac:dyDescent="0.25">
      <c r="A149" s="3">
        <f t="shared" si="2"/>
        <v>148</v>
      </c>
      <c r="B149" s="3">
        <v>21557</v>
      </c>
      <c r="C149" s="3" t="s">
        <v>399</v>
      </c>
      <c r="D149" s="3" t="s">
        <v>20</v>
      </c>
      <c r="E149" s="3" t="s">
        <v>10</v>
      </c>
      <c r="F149" s="3" t="s">
        <v>88</v>
      </c>
      <c r="G149" s="3" t="s">
        <v>400</v>
      </c>
    </row>
    <row r="150" spans="1:7" ht="18.75" x14ac:dyDescent="0.25">
      <c r="A150" s="3">
        <f t="shared" si="2"/>
        <v>149</v>
      </c>
      <c r="B150" s="3">
        <v>21563</v>
      </c>
      <c r="C150" s="3" t="s">
        <v>474</v>
      </c>
      <c r="D150" s="3" t="s">
        <v>64</v>
      </c>
      <c r="E150" s="3" t="s">
        <v>7</v>
      </c>
      <c r="F150" s="3" t="s">
        <v>88</v>
      </c>
      <c r="G150" s="3" t="s">
        <v>475</v>
      </c>
    </row>
    <row r="151" spans="1:7" ht="18.75" x14ac:dyDescent="0.25">
      <c r="A151" s="3">
        <f t="shared" si="2"/>
        <v>150</v>
      </c>
      <c r="B151" s="3">
        <v>21569</v>
      </c>
      <c r="C151" s="3" t="s">
        <v>286</v>
      </c>
      <c r="D151" s="3" t="s">
        <v>41</v>
      </c>
      <c r="E151" s="3" t="s">
        <v>7</v>
      </c>
      <c r="F151" s="3" t="s">
        <v>88</v>
      </c>
      <c r="G151" s="3" t="s">
        <v>287</v>
      </c>
    </row>
    <row r="152" spans="1:7" ht="18.75" x14ac:dyDescent="0.25">
      <c r="A152" s="3">
        <f t="shared" si="2"/>
        <v>151</v>
      </c>
      <c r="B152" s="3">
        <v>21577</v>
      </c>
      <c r="C152" s="3" t="s">
        <v>148</v>
      </c>
      <c r="D152" s="3" t="s">
        <v>107</v>
      </c>
      <c r="E152" s="3" t="s">
        <v>7</v>
      </c>
      <c r="F152" s="3" t="s">
        <v>88</v>
      </c>
      <c r="G152" s="3" t="s">
        <v>224</v>
      </c>
    </row>
    <row r="153" spans="1:7" ht="18.75" x14ac:dyDescent="0.25">
      <c r="A153" s="3">
        <f t="shared" si="2"/>
        <v>152</v>
      </c>
      <c r="B153" s="3">
        <v>21579</v>
      </c>
      <c r="C153" s="3" t="s">
        <v>333</v>
      </c>
      <c r="D153" s="3" t="s">
        <v>334</v>
      </c>
      <c r="E153" s="3" t="s">
        <v>7</v>
      </c>
      <c r="F153" s="3" t="s">
        <v>88</v>
      </c>
      <c r="G153" s="3" t="s">
        <v>335</v>
      </c>
    </row>
    <row r="154" spans="1:7" ht="18.75" x14ac:dyDescent="0.25">
      <c r="A154" s="3">
        <f t="shared" si="2"/>
        <v>153</v>
      </c>
      <c r="B154" s="3">
        <v>21581</v>
      </c>
      <c r="C154" s="3" t="s">
        <v>147</v>
      </c>
      <c r="D154" s="3" t="s">
        <v>68</v>
      </c>
      <c r="E154" s="3" t="s">
        <v>7</v>
      </c>
      <c r="F154" s="3" t="s">
        <v>88</v>
      </c>
      <c r="G154" s="3" t="s">
        <v>242</v>
      </c>
    </row>
    <row r="155" spans="1:7" ht="18.75" x14ac:dyDescent="0.25">
      <c r="A155" s="3">
        <f t="shared" si="2"/>
        <v>154</v>
      </c>
      <c r="B155" s="3">
        <v>21584</v>
      </c>
      <c r="C155" s="3" t="s">
        <v>397</v>
      </c>
      <c r="D155" s="3" t="s">
        <v>20</v>
      </c>
      <c r="E155" s="3" t="s">
        <v>10</v>
      </c>
      <c r="F155" s="3" t="s">
        <v>88</v>
      </c>
      <c r="G155" s="3" t="s">
        <v>398</v>
      </c>
    </row>
    <row r="156" spans="1:7" ht="18.75" x14ac:dyDescent="0.25">
      <c r="A156" s="3">
        <f t="shared" si="2"/>
        <v>155</v>
      </c>
      <c r="B156" s="3">
        <v>21587</v>
      </c>
      <c r="C156" s="3" t="s">
        <v>395</v>
      </c>
      <c r="D156" s="3" t="s">
        <v>20</v>
      </c>
      <c r="E156" s="3" t="s">
        <v>10</v>
      </c>
      <c r="F156" s="3" t="s">
        <v>88</v>
      </c>
      <c r="G156" s="3" t="s">
        <v>396</v>
      </c>
    </row>
    <row r="157" spans="1:7" ht="18.75" x14ac:dyDescent="0.25">
      <c r="A157" s="3">
        <f t="shared" si="2"/>
        <v>156</v>
      </c>
      <c r="B157" s="3">
        <v>21588</v>
      </c>
      <c r="C157" s="3" t="s">
        <v>393</v>
      </c>
      <c r="D157" s="3" t="s">
        <v>20</v>
      </c>
      <c r="E157" s="3" t="s">
        <v>10</v>
      </c>
      <c r="F157" s="3" t="s">
        <v>88</v>
      </c>
      <c r="G157" s="3" t="s">
        <v>394</v>
      </c>
    </row>
    <row r="158" spans="1:7" ht="18.75" x14ac:dyDescent="0.25">
      <c r="A158" s="3">
        <f t="shared" si="2"/>
        <v>157</v>
      </c>
      <c r="B158" s="3">
        <v>21593</v>
      </c>
      <c r="C158" s="3" t="s">
        <v>273</v>
      </c>
      <c r="D158" s="3" t="s">
        <v>35</v>
      </c>
      <c r="E158" s="3" t="s">
        <v>7</v>
      </c>
      <c r="F158" s="3" t="s">
        <v>88</v>
      </c>
      <c r="G158" s="3" t="s">
        <v>274</v>
      </c>
    </row>
    <row r="159" spans="1:7" ht="18.75" x14ac:dyDescent="0.25">
      <c r="A159" s="3">
        <f t="shared" si="2"/>
        <v>158</v>
      </c>
      <c r="B159" s="3">
        <v>21604</v>
      </c>
      <c r="C159" s="3" t="s">
        <v>318</v>
      </c>
      <c r="D159" s="3" t="s">
        <v>15</v>
      </c>
      <c r="E159" s="3" t="s">
        <v>10</v>
      </c>
      <c r="F159" s="3" t="s">
        <v>88</v>
      </c>
      <c r="G159" s="3" t="s">
        <v>319</v>
      </c>
    </row>
    <row r="160" spans="1:7" ht="18.75" x14ac:dyDescent="0.25">
      <c r="A160" s="3">
        <f t="shared" si="2"/>
        <v>159</v>
      </c>
      <c r="B160" s="3">
        <v>21607</v>
      </c>
      <c r="C160" s="3" t="s">
        <v>401</v>
      </c>
      <c r="D160" s="3" t="s">
        <v>15</v>
      </c>
      <c r="E160" s="3" t="s">
        <v>10</v>
      </c>
      <c r="F160" s="3" t="s">
        <v>88</v>
      </c>
      <c r="G160" s="3" t="s">
        <v>402</v>
      </c>
    </row>
    <row r="161" spans="1:7" ht="18.75" x14ac:dyDescent="0.25">
      <c r="A161" s="3">
        <f t="shared" si="2"/>
        <v>160</v>
      </c>
      <c r="B161" s="3">
        <v>21610</v>
      </c>
      <c r="C161" s="3" t="s">
        <v>390</v>
      </c>
      <c r="D161" s="3" t="s">
        <v>20</v>
      </c>
      <c r="E161" s="3" t="s">
        <v>10</v>
      </c>
      <c r="F161" s="3" t="s">
        <v>88</v>
      </c>
      <c r="G161" s="3" t="s">
        <v>391</v>
      </c>
    </row>
    <row r="162" spans="1:7" ht="18.75" x14ac:dyDescent="0.25">
      <c r="A162" s="3">
        <f t="shared" si="2"/>
        <v>161</v>
      </c>
      <c r="B162" s="3">
        <v>21612</v>
      </c>
      <c r="C162" s="3" t="s">
        <v>275</v>
      </c>
      <c r="D162" s="3" t="s">
        <v>79</v>
      </c>
      <c r="E162" s="3" t="s">
        <v>73</v>
      </c>
      <c r="F162" s="3" t="s">
        <v>88</v>
      </c>
      <c r="G162" s="3">
        <v>21612</v>
      </c>
    </row>
    <row r="163" spans="1:7" ht="18.75" x14ac:dyDescent="0.25">
      <c r="A163" s="3">
        <f t="shared" si="2"/>
        <v>162</v>
      </c>
      <c r="B163" s="3">
        <v>21613</v>
      </c>
      <c r="C163" s="3" t="s">
        <v>388</v>
      </c>
      <c r="D163" s="3" t="s">
        <v>20</v>
      </c>
      <c r="E163" s="3" t="s">
        <v>10</v>
      </c>
      <c r="F163" s="3" t="s">
        <v>88</v>
      </c>
      <c r="G163" s="3" t="s">
        <v>389</v>
      </c>
    </row>
    <row r="164" spans="1:7" ht="18.75" x14ac:dyDescent="0.25">
      <c r="A164" s="3">
        <f t="shared" si="2"/>
        <v>163</v>
      </c>
      <c r="B164" s="3">
        <v>21614</v>
      </c>
      <c r="C164" s="3" t="s">
        <v>386</v>
      </c>
      <c r="D164" s="3" t="s">
        <v>20</v>
      </c>
      <c r="E164" s="3" t="s">
        <v>10</v>
      </c>
      <c r="F164" s="3" t="s">
        <v>88</v>
      </c>
      <c r="G164" s="3" t="s">
        <v>387</v>
      </c>
    </row>
    <row r="165" spans="1:7" ht="18.75" x14ac:dyDescent="0.25">
      <c r="A165" s="3">
        <f t="shared" si="2"/>
        <v>164</v>
      </c>
      <c r="B165" s="3">
        <v>21615</v>
      </c>
      <c r="C165" s="3" t="s">
        <v>385</v>
      </c>
      <c r="D165" s="3" t="s">
        <v>20</v>
      </c>
      <c r="E165" s="3" t="s">
        <v>10</v>
      </c>
      <c r="F165" s="3" t="s">
        <v>88</v>
      </c>
      <c r="G165" s="3" t="s">
        <v>392</v>
      </c>
    </row>
    <row r="166" spans="1:7" ht="18.75" x14ac:dyDescent="0.25">
      <c r="A166" s="3">
        <f t="shared" si="2"/>
        <v>165</v>
      </c>
      <c r="B166" s="3">
        <v>21616</v>
      </c>
      <c r="C166" s="3" t="s">
        <v>383</v>
      </c>
      <c r="D166" s="3" t="s">
        <v>20</v>
      </c>
      <c r="E166" s="3" t="s">
        <v>10</v>
      </c>
      <c r="F166" s="3" t="s">
        <v>88</v>
      </c>
      <c r="G166" s="3" t="s">
        <v>384</v>
      </c>
    </row>
    <row r="167" spans="1:7" ht="18.75" x14ac:dyDescent="0.25">
      <c r="A167" s="3">
        <f t="shared" si="2"/>
        <v>166</v>
      </c>
      <c r="B167" s="3">
        <v>21619</v>
      </c>
      <c r="C167" s="3" t="s">
        <v>464</v>
      </c>
      <c r="D167" s="3" t="s">
        <v>15</v>
      </c>
      <c r="E167" s="3" t="s">
        <v>10</v>
      </c>
      <c r="F167" s="3" t="s">
        <v>88</v>
      </c>
      <c r="G167" s="3" t="s">
        <v>465</v>
      </c>
    </row>
    <row r="168" spans="1:7" ht="18.75" x14ac:dyDescent="0.25">
      <c r="A168" s="3">
        <f t="shared" si="2"/>
        <v>167</v>
      </c>
      <c r="B168" s="3">
        <v>21625</v>
      </c>
      <c r="C168" s="3" t="s">
        <v>371</v>
      </c>
      <c r="D168" s="3" t="s">
        <v>58</v>
      </c>
      <c r="E168" s="3" t="s">
        <v>7</v>
      </c>
      <c r="F168" s="3" t="s">
        <v>88</v>
      </c>
      <c r="G168" s="3" t="s">
        <v>372</v>
      </c>
    </row>
    <row r="169" spans="1:7" ht="18.75" x14ac:dyDescent="0.25">
      <c r="A169" s="3">
        <f t="shared" si="2"/>
        <v>168</v>
      </c>
      <c r="B169" s="3">
        <v>21626</v>
      </c>
      <c r="C169" s="3" t="s">
        <v>342</v>
      </c>
      <c r="D169" s="3" t="s">
        <v>79</v>
      </c>
      <c r="E169" s="3" t="s">
        <v>73</v>
      </c>
      <c r="F169" s="3" t="s">
        <v>88</v>
      </c>
      <c r="G169" s="3">
        <v>21626</v>
      </c>
    </row>
    <row r="170" spans="1:7" ht="18.75" x14ac:dyDescent="0.25">
      <c r="A170" s="3">
        <f t="shared" si="2"/>
        <v>169</v>
      </c>
      <c r="B170" s="3">
        <v>21630</v>
      </c>
      <c r="C170" s="3" t="s">
        <v>369</v>
      </c>
      <c r="D170" s="3" t="s">
        <v>58</v>
      </c>
      <c r="E170" s="3" t="s">
        <v>7</v>
      </c>
      <c r="F170" s="3" t="s">
        <v>88</v>
      </c>
      <c r="G170" s="3" t="s">
        <v>370</v>
      </c>
    </row>
    <row r="171" spans="1:7" ht="18.75" x14ac:dyDescent="0.25">
      <c r="A171" s="3">
        <f t="shared" si="2"/>
        <v>170</v>
      </c>
      <c r="B171" s="3">
        <v>21631</v>
      </c>
      <c r="C171" s="3" t="s">
        <v>309</v>
      </c>
      <c r="D171" s="3" t="s">
        <v>15</v>
      </c>
      <c r="E171" s="3" t="s">
        <v>10</v>
      </c>
      <c r="F171" s="3" t="s">
        <v>88</v>
      </c>
      <c r="G171" s="3" t="s">
        <v>310</v>
      </c>
    </row>
    <row r="172" spans="1:7" ht="18.75" x14ac:dyDescent="0.25">
      <c r="A172" s="3">
        <f t="shared" si="2"/>
        <v>171</v>
      </c>
      <c r="B172" s="3">
        <v>21633</v>
      </c>
      <c r="C172" s="3" t="s">
        <v>268</v>
      </c>
      <c r="D172" s="3" t="s">
        <v>79</v>
      </c>
      <c r="E172" s="3" t="s">
        <v>73</v>
      </c>
      <c r="F172" s="3" t="s">
        <v>88</v>
      </c>
      <c r="G172" s="3">
        <v>21633</v>
      </c>
    </row>
    <row r="173" spans="1:7" ht="18.75" x14ac:dyDescent="0.25">
      <c r="A173" s="3">
        <f t="shared" si="2"/>
        <v>172</v>
      </c>
      <c r="B173" s="3">
        <v>21634</v>
      </c>
      <c r="C173" s="3" t="s">
        <v>276</v>
      </c>
      <c r="D173" s="3" t="s">
        <v>104</v>
      </c>
      <c r="E173" s="3" t="s">
        <v>105</v>
      </c>
      <c r="F173" s="3" t="s">
        <v>88</v>
      </c>
      <c r="G173" s="3" t="s">
        <v>277</v>
      </c>
    </row>
    <row r="174" spans="1:7" ht="18.75" x14ac:dyDescent="0.25">
      <c r="A174" s="3">
        <f t="shared" si="2"/>
        <v>173</v>
      </c>
      <c r="B174" s="3">
        <v>21644</v>
      </c>
      <c r="C174" s="3" t="s">
        <v>280</v>
      </c>
      <c r="D174" s="3" t="s">
        <v>35</v>
      </c>
      <c r="E174" s="3" t="s">
        <v>7</v>
      </c>
      <c r="F174" s="3" t="s">
        <v>88</v>
      </c>
      <c r="G174" s="3" t="s">
        <v>281</v>
      </c>
    </row>
    <row r="175" spans="1:7" ht="18.75" x14ac:dyDescent="0.25">
      <c r="A175" s="3">
        <f t="shared" si="2"/>
        <v>174</v>
      </c>
      <c r="B175" s="3">
        <v>21651</v>
      </c>
      <c r="C175" s="3" t="s">
        <v>250</v>
      </c>
      <c r="D175" s="3" t="s">
        <v>24</v>
      </c>
      <c r="E175" s="3" t="s">
        <v>7</v>
      </c>
      <c r="F175" s="3" t="s">
        <v>88</v>
      </c>
      <c r="G175" s="3" t="s">
        <v>251</v>
      </c>
    </row>
    <row r="176" spans="1:7" ht="18.75" x14ac:dyDescent="0.25">
      <c r="A176" s="3">
        <f t="shared" si="2"/>
        <v>175</v>
      </c>
      <c r="B176" s="3">
        <v>21657</v>
      </c>
      <c r="C176" s="3" t="s">
        <v>326</v>
      </c>
      <c r="D176" s="3" t="s">
        <v>35</v>
      </c>
      <c r="E176" s="3" t="s">
        <v>7</v>
      </c>
      <c r="F176" s="3" t="s">
        <v>88</v>
      </c>
      <c r="G176" s="3" t="s">
        <v>327</v>
      </c>
    </row>
    <row r="177" spans="1:7" ht="18.75" x14ac:dyDescent="0.25">
      <c r="A177" s="3">
        <f t="shared" si="2"/>
        <v>176</v>
      </c>
      <c r="B177" s="3">
        <v>21661</v>
      </c>
      <c r="C177" s="3" t="s">
        <v>305</v>
      </c>
      <c r="D177" s="3" t="s">
        <v>43</v>
      </c>
      <c r="E177" s="3" t="s">
        <v>7</v>
      </c>
      <c r="F177" s="3" t="s">
        <v>88</v>
      </c>
      <c r="G177" s="3" t="s">
        <v>306</v>
      </c>
    </row>
    <row r="178" spans="1:7" ht="18.75" x14ac:dyDescent="0.25">
      <c r="A178" s="3">
        <f t="shared" si="2"/>
        <v>177</v>
      </c>
      <c r="B178" s="3">
        <v>21663</v>
      </c>
      <c r="C178" s="3" t="s">
        <v>343</v>
      </c>
      <c r="D178" s="3" t="s">
        <v>76</v>
      </c>
      <c r="E178" s="3" t="s">
        <v>77</v>
      </c>
      <c r="F178" s="3" t="s">
        <v>88</v>
      </c>
      <c r="G178" s="3" t="s">
        <v>344</v>
      </c>
    </row>
    <row r="179" spans="1:7" ht="18.75" x14ac:dyDescent="0.25">
      <c r="A179" s="3">
        <f t="shared" si="2"/>
        <v>178</v>
      </c>
      <c r="B179" s="3">
        <v>21665</v>
      </c>
      <c r="C179" s="3" t="s">
        <v>292</v>
      </c>
      <c r="D179" s="3" t="s">
        <v>104</v>
      </c>
      <c r="E179" s="3" t="s">
        <v>105</v>
      </c>
      <c r="F179" s="3" t="s">
        <v>88</v>
      </c>
      <c r="G179" s="3" t="s">
        <v>293</v>
      </c>
    </row>
    <row r="180" spans="1:7" ht="18.75" x14ac:dyDescent="0.25">
      <c r="A180" s="3">
        <f t="shared" si="2"/>
        <v>179</v>
      </c>
      <c r="B180" s="3">
        <v>21666</v>
      </c>
      <c r="C180" s="3" t="s">
        <v>278</v>
      </c>
      <c r="D180" s="3" t="s">
        <v>70</v>
      </c>
      <c r="E180" s="3" t="s">
        <v>7</v>
      </c>
      <c r="F180" s="3" t="s">
        <v>88</v>
      </c>
      <c r="G180" s="3" t="s">
        <v>279</v>
      </c>
    </row>
    <row r="181" spans="1:7" ht="18.75" x14ac:dyDescent="0.25">
      <c r="A181" s="3">
        <f t="shared" si="2"/>
        <v>180</v>
      </c>
      <c r="B181" s="3">
        <v>21671</v>
      </c>
      <c r="C181" s="3" t="s">
        <v>307</v>
      </c>
      <c r="D181" s="3" t="s">
        <v>15</v>
      </c>
      <c r="E181" s="3" t="s">
        <v>10</v>
      </c>
      <c r="F181" s="3" t="s">
        <v>88</v>
      </c>
      <c r="G181" s="3" t="s">
        <v>308</v>
      </c>
    </row>
    <row r="182" spans="1:7" ht="18.75" x14ac:dyDescent="0.25">
      <c r="A182" s="3">
        <f t="shared" si="2"/>
        <v>181</v>
      </c>
      <c r="B182" s="3">
        <v>21672</v>
      </c>
      <c r="C182" s="3" t="s">
        <v>299</v>
      </c>
      <c r="D182" s="3" t="s">
        <v>24</v>
      </c>
      <c r="E182" s="3" t="s">
        <v>7</v>
      </c>
      <c r="F182" s="3" t="s">
        <v>88</v>
      </c>
      <c r="G182" s="3" t="s">
        <v>300</v>
      </c>
    </row>
    <row r="183" spans="1:7" ht="18.75" x14ac:dyDescent="0.25">
      <c r="A183" s="3">
        <f t="shared" si="2"/>
        <v>182</v>
      </c>
      <c r="B183" s="3">
        <v>21678</v>
      </c>
      <c r="C183" s="3" t="s">
        <v>288</v>
      </c>
      <c r="D183" s="3" t="s">
        <v>62</v>
      </c>
      <c r="E183" s="3" t="s">
        <v>7</v>
      </c>
      <c r="F183" s="3" t="s">
        <v>88</v>
      </c>
      <c r="G183" s="3" t="s">
        <v>289</v>
      </c>
    </row>
    <row r="184" spans="1:7" ht="18.75" x14ac:dyDescent="0.25">
      <c r="A184" s="3">
        <f t="shared" si="2"/>
        <v>183</v>
      </c>
      <c r="B184" s="3">
        <v>21682</v>
      </c>
      <c r="C184" s="3" t="s">
        <v>341</v>
      </c>
      <c r="D184" s="3" t="s">
        <v>79</v>
      </c>
      <c r="E184" s="3" t="s">
        <v>73</v>
      </c>
      <c r="F184" s="3" t="s">
        <v>88</v>
      </c>
      <c r="G184" s="3">
        <v>21682</v>
      </c>
    </row>
    <row r="185" spans="1:7" ht="18.75" x14ac:dyDescent="0.25">
      <c r="A185" s="3">
        <f t="shared" si="2"/>
        <v>184</v>
      </c>
      <c r="B185" s="3">
        <v>21695</v>
      </c>
      <c r="C185" s="3" t="s">
        <v>340</v>
      </c>
      <c r="D185" s="3" t="s">
        <v>79</v>
      </c>
      <c r="E185" s="3" t="s">
        <v>73</v>
      </c>
      <c r="F185" s="3" t="s">
        <v>88</v>
      </c>
      <c r="G185" s="3">
        <v>21695</v>
      </c>
    </row>
    <row r="186" spans="1:7" ht="18.75" x14ac:dyDescent="0.25">
      <c r="A186" s="3">
        <f t="shared" si="2"/>
        <v>185</v>
      </c>
      <c r="B186" s="3">
        <v>21698</v>
      </c>
      <c r="C186" s="3" t="s">
        <v>303</v>
      </c>
      <c r="D186" s="3" t="s">
        <v>43</v>
      </c>
      <c r="E186" s="3" t="s">
        <v>7</v>
      </c>
      <c r="F186" s="3" t="s">
        <v>88</v>
      </c>
      <c r="G186" s="3" t="s">
        <v>304</v>
      </c>
    </row>
    <row r="187" spans="1:7" ht="18.75" x14ac:dyDescent="0.25">
      <c r="A187" s="3">
        <f t="shared" si="2"/>
        <v>186</v>
      </c>
      <c r="B187" s="3">
        <v>21700</v>
      </c>
      <c r="C187" s="3" t="s">
        <v>458</v>
      </c>
      <c r="D187" s="3" t="s">
        <v>68</v>
      </c>
      <c r="E187" s="3" t="s">
        <v>7</v>
      </c>
      <c r="F187" s="3" t="s">
        <v>88</v>
      </c>
      <c r="G187" s="3" t="s">
        <v>459</v>
      </c>
    </row>
    <row r="188" spans="1:7" ht="18.75" x14ac:dyDescent="0.25">
      <c r="A188" s="3">
        <f t="shared" si="2"/>
        <v>187</v>
      </c>
      <c r="B188" s="3">
        <v>21701</v>
      </c>
      <c r="C188" s="3" t="s">
        <v>456</v>
      </c>
      <c r="D188" s="3" t="s">
        <v>68</v>
      </c>
      <c r="E188" s="3" t="s">
        <v>7</v>
      </c>
      <c r="F188" s="3" t="s">
        <v>88</v>
      </c>
      <c r="G188" s="3" t="s">
        <v>457</v>
      </c>
    </row>
    <row r="189" spans="1:7" ht="18.75" x14ac:dyDescent="0.25">
      <c r="A189" s="3">
        <f t="shared" si="2"/>
        <v>188</v>
      </c>
      <c r="B189" s="3">
        <v>21705</v>
      </c>
      <c r="C189" s="3" t="s">
        <v>349</v>
      </c>
      <c r="D189" s="3" t="s">
        <v>35</v>
      </c>
      <c r="E189" s="3" t="s">
        <v>7</v>
      </c>
      <c r="F189" s="3" t="s">
        <v>88</v>
      </c>
      <c r="G189" s="3" t="s">
        <v>350</v>
      </c>
    </row>
    <row r="190" spans="1:7" ht="18.75" x14ac:dyDescent="0.25">
      <c r="A190" s="3">
        <f t="shared" si="2"/>
        <v>189</v>
      </c>
      <c r="B190" s="3">
        <v>21710</v>
      </c>
      <c r="C190" s="3" t="s">
        <v>498</v>
      </c>
      <c r="D190" s="3" t="s">
        <v>107</v>
      </c>
      <c r="E190" s="3" t="s">
        <v>7</v>
      </c>
      <c r="F190" s="3" t="s">
        <v>88</v>
      </c>
      <c r="G190" s="3" t="s">
        <v>499</v>
      </c>
    </row>
    <row r="191" spans="1:7" ht="18.75" x14ac:dyDescent="0.25">
      <c r="A191" s="3">
        <f t="shared" si="2"/>
        <v>190</v>
      </c>
      <c r="B191" s="3">
        <v>21713</v>
      </c>
      <c r="C191" s="3" t="s">
        <v>366</v>
      </c>
      <c r="D191" s="3" t="s">
        <v>367</v>
      </c>
      <c r="E191" s="3" t="s">
        <v>7</v>
      </c>
      <c r="F191" s="3" t="s">
        <v>88</v>
      </c>
      <c r="G191" s="3" t="s">
        <v>368</v>
      </c>
    </row>
    <row r="192" spans="1:7" ht="18.75" x14ac:dyDescent="0.25">
      <c r="A192" s="3">
        <f t="shared" si="2"/>
        <v>191</v>
      </c>
      <c r="B192" s="3">
        <v>21714</v>
      </c>
      <c r="C192" s="3" t="s">
        <v>316</v>
      </c>
      <c r="D192" s="3" t="s">
        <v>9</v>
      </c>
      <c r="E192" s="3" t="s">
        <v>10</v>
      </c>
      <c r="F192" s="3" t="s">
        <v>88</v>
      </c>
      <c r="G192" s="3" t="s">
        <v>317</v>
      </c>
    </row>
    <row r="193" spans="1:7" ht="18.75" x14ac:dyDescent="0.25">
      <c r="A193" s="3">
        <f t="shared" si="2"/>
        <v>192</v>
      </c>
      <c r="B193" s="3">
        <v>21716</v>
      </c>
      <c r="C193" s="3" t="s">
        <v>336</v>
      </c>
      <c r="D193" s="3" t="s">
        <v>15</v>
      </c>
      <c r="E193" s="3" t="s">
        <v>10</v>
      </c>
      <c r="F193" s="3" t="s">
        <v>88</v>
      </c>
      <c r="G193" s="3" t="s">
        <v>337</v>
      </c>
    </row>
    <row r="194" spans="1:7" ht="18.75" x14ac:dyDescent="0.25">
      <c r="A194" s="3">
        <f t="shared" ref="A194:A239" si="3">ROW()-1</f>
        <v>193</v>
      </c>
      <c r="B194" s="3">
        <v>21718</v>
      </c>
      <c r="C194" s="3" t="s">
        <v>432</v>
      </c>
      <c r="D194" s="3" t="s">
        <v>84</v>
      </c>
      <c r="E194" s="3" t="s">
        <v>83</v>
      </c>
      <c r="F194" s="3" t="s">
        <v>88</v>
      </c>
      <c r="G194" s="3" t="s">
        <v>433</v>
      </c>
    </row>
    <row r="195" spans="1:7" ht="18.75" x14ac:dyDescent="0.25">
      <c r="A195" s="3">
        <f t="shared" si="3"/>
        <v>194</v>
      </c>
      <c r="B195" s="3">
        <v>21728</v>
      </c>
      <c r="C195" s="3" t="s">
        <v>347</v>
      </c>
      <c r="D195" s="3" t="s">
        <v>52</v>
      </c>
      <c r="E195" s="3" t="s">
        <v>7</v>
      </c>
      <c r="F195" s="3" t="s">
        <v>88</v>
      </c>
      <c r="G195" s="3" t="s">
        <v>348</v>
      </c>
    </row>
    <row r="196" spans="1:7" ht="18.75" x14ac:dyDescent="0.25">
      <c r="A196" s="3">
        <f t="shared" si="3"/>
        <v>195</v>
      </c>
      <c r="B196" s="3">
        <v>21736</v>
      </c>
      <c r="C196" s="3" t="s">
        <v>322</v>
      </c>
      <c r="D196" s="3" t="s">
        <v>70</v>
      </c>
      <c r="E196" s="3" t="s">
        <v>7</v>
      </c>
      <c r="F196" s="3" t="s">
        <v>88</v>
      </c>
      <c r="G196" s="3" t="s">
        <v>323</v>
      </c>
    </row>
    <row r="197" spans="1:7" ht="18.75" x14ac:dyDescent="0.25">
      <c r="A197" s="3">
        <f t="shared" si="3"/>
        <v>196</v>
      </c>
      <c r="B197" s="3">
        <v>21748</v>
      </c>
      <c r="C197" s="3" t="s">
        <v>351</v>
      </c>
      <c r="D197" s="3" t="s">
        <v>15</v>
      </c>
      <c r="E197" s="3" t="s">
        <v>10</v>
      </c>
      <c r="F197" s="3" t="s">
        <v>88</v>
      </c>
      <c r="G197" s="3" t="s">
        <v>352</v>
      </c>
    </row>
    <row r="198" spans="1:7" ht="18.75" x14ac:dyDescent="0.25">
      <c r="A198" s="3">
        <f t="shared" si="3"/>
        <v>197</v>
      </c>
      <c r="B198" s="3">
        <v>21749</v>
      </c>
      <c r="C198" s="3" t="s">
        <v>466</v>
      </c>
      <c r="D198" s="3" t="s">
        <v>15</v>
      </c>
      <c r="E198" s="3" t="s">
        <v>10</v>
      </c>
      <c r="F198" s="3" t="s">
        <v>88</v>
      </c>
      <c r="G198" s="3" t="s">
        <v>467</v>
      </c>
    </row>
    <row r="199" spans="1:7" ht="18.75" x14ac:dyDescent="0.25">
      <c r="A199" s="3">
        <f t="shared" si="3"/>
        <v>198</v>
      </c>
      <c r="B199" s="3">
        <v>21759</v>
      </c>
      <c r="C199" s="3" t="s">
        <v>493</v>
      </c>
      <c r="D199" s="3" t="s">
        <v>35</v>
      </c>
      <c r="E199" s="3" t="s">
        <v>7</v>
      </c>
      <c r="F199" s="3" t="s">
        <v>88</v>
      </c>
      <c r="G199" s="3" t="s">
        <v>492</v>
      </c>
    </row>
    <row r="200" spans="1:7" ht="18.75" x14ac:dyDescent="0.25">
      <c r="A200" s="3">
        <f t="shared" si="3"/>
        <v>199</v>
      </c>
      <c r="B200" s="3">
        <v>21760</v>
      </c>
      <c r="C200" s="3" t="s">
        <v>490</v>
      </c>
      <c r="D200" s="3" t="s">
        <v>35</v>
      </c>
      <c r="E200" s="3" t="s">
        <v>7</v>
      </c>
      <c r="F200" s="3" t="s">
        <v>88</v>
      </c>
      <c r="G200" s="3" t="s">
        <v>491</v>
      </c>
    </row>
    <row r="201" spans="1:7" ht="18.75" x14ac:dyDescent="0.25">
      <c r="A201" s="3">
        <f t="shared" si="3"/>
        <v>200</v>
      </c>
      <c r="B201" s="3">
        <v>21766</v>
      </c>
      <c r="C201" s="3" t="s">
        <v>468</v>
      </c>
      <c r="D201" s="3" t="s">
        <v>15</v>
      </c>
      <c r="E201" s="3" t="s">
        <v>10</v>
      </c>
      <c r="F201" s="3" t="s">
        <v>88</v>
      </c>
      <c r="G201" s="3" t="s">
        <v>469</v>
      </c>
    </row>
    <row r="202" spans="1:7" ht="18.75" x14ac:dyDescent="0.25">
      <c r="A202" s="3">
        <f t="shared" si="3"/>
        <v>201</v>
      </c>
      <c r="B202" s="3">
        <v>21769</v>
      </c>
      <c r="C202" s="3" t="s">
        <v>421</v>
      </c>
      <c r="D202" s="3" t="s">
        <v>9</v>
      </c>
      <c r="E202" s="3" t="s">
        <v>10</v>
      </c>
      <c r="F202" s="3" t="s">
        <v>88</v>
      </c>
      <c r="G202" s="3" t="s">
        <v>422</v>
      </c>
    </row>
    <row r="203" spans="1:7" ht="18.75" x14ac:dyDescent="0.25">
      <c r="A203" s="3">
        <f t="shared" si="3"/>
        <v>202</v>
      </c>
      <c r="B203" s="3">
        <v>21770</v>
      </c>
      <c r="C203" s="3" t="s">
        <v>356</v>
      </c>
      <c r="D203" s="3" t="s">
        <v>24</v>
      </c>
      <c r="E203" s="3" t="s">
        <v>7</v>
      </c>
      <c r="F203" s="3" t="s">
        <v>88</v>
      </c>
      <c r="G203" s="3" t="s">
        <v>357</v>
      </c>
    </row>
    <row r="204" spans="1:7" ht="18.75" x14ac:dyDescent="0.25">
      <c r="A204" s="3">
        <f t="shared" si="3"/>
        <v>203</v>
      </c>
      <c r="B204" s="3">
        <v>21772</v>
      </c>
      <c r="C204" s="3" t="s">
        <v>345</v>
      </c>
      <c r="D204" s="3" t="s">
        <v>64</v>
      </c>
      <c r="E204" s="3" t="s">
        <v>7</v>
      </c>
      <c r="F204" s="3" t="s">
        <v>89</v>
      </c>
      <c r="G204" s="3" t="s">
        <v>346</v>
      </c>
    </row>
    <row r="205" spans="1:7" ht="18.75" x14ac:dyDescent="0.25">
      <c r="A205" s="3">
        <f t="shared" si="3"/>
        <v>204</v>
      </c>
      <c r="B205" s="3">
        <v>21773</v>
      </c>
      <c r="C205" s="3" t="s">
        <v>494</v>
      </c>
      <c r="D205" s="3" t="s">
        <v>119</v>
      </c>
      <c r="E205" s="3" t="s">
        <v>10</v>
      </c>
      <c r="F205" s="3" t="s">
        <v>88</v>
      </c>
      <c r="G205" s="3" t="s">
        <v>495</v>
      </c>
    </row>
    <row r="206" spans="1:7" ht="18.75" x14ac:dyDescent="0.25">
      <c r="A206" s="3">
        <f t="shared" si="3"/>
        <v>205</v>
      </c>
      <c r="B206" s="3">
        <v>21775</v>
      </c>
      <c r="C206" s="3" t="s">
        <v>358</v>
      </c>
      <c r="D206" s="3" t="s">
        <v>43</v>
      </c>
      <c r="E206" s="3" t="s">
        <v>7</v>
      </c>
      <c r="F206" s="3" t="s">
        <v>88</v>
      </c>
      <c r="G206" s="3" t="s">
        <v>359</v>
      </c>
    </row>
    <row r="207" spans="1:7" ht="18.75" x14ac:dyDescent="0.25">
      <c r="A207" s="3">
        <f t="shared" si="3"/>
        <v>206</v>
      </c>
      <c r="B207" s="3">
        <v>21779</v>
      </c>
      <c r="C207" s="3" t="s">
        <v>482</v>
      </c>
      <c r="D207" s="3" t="s">
        <v>107</v>
      </c>
      <c r="E207" s="3" t="s">
        <v>7</v>
      </c>
      <c r="F207" s="3" t="s">
        <v>88</v>
      </c>
      <c r="G207" s="3" t="s">
        <v>483</v>
      </c>
    </row>
    <row r="208" spans="1:7" ht="18.75" x14ac:dyDescent="0.25">
      <c r="A208" s="3">
        <f t="shared" si="3"/>
        <v>207</v>
      </c>
      <c r="B208" s="3">
        <v>21782</v>
      </c>
      <c r="C208" s="3" t="s">
        <v>446</v>
      </c>
      <c r="D208" s="3" t="s">
        <v>20</v>
      </c>
      <c r="E208" s="3" t="s">
        <v>10</v>
      </c>
      <c r="F208" s="3" t="s">
        <v>88</v>
      </c>
      <c r="G208" s="3" t="s">
        <v>447</v>
      </c>
    </row>
    <row r="209" spans="1:7" ht="18.75" x14ac:dyDescent="0.25">
      <c r="A209" s="3">
        <f t="shared" si="3"/>
        <v>208</v>
      </c>
      <c r="B209" s="3">
        <v>21783</v>
      </c>
      <c r="C209" s="3" t="s">
        <v>488</v>
      </c>
      <c r="D209" s="3" t="s">
        <v>35</v>
      </c>
      <c r="E209" s="3" t="s">
        <v>7</v>
      </c>
      <c r="F209" s="3" t="s">
        <v>88</v>
      </c>
      <c r="G209" s="3" t="s">
        <v>489</v>
      </c>
    </row>
    <row r="210" spans="1:7" ht="18.75" x14ac:dyDescent="0.25">
      <c r="A210" s="3">
        <f t="shared" si="3"/>
        <v>209</v>
      </c>
      <c r="B210" s="3">
        <v>21784</v>
      </c>
      <c r="C210" s="3" t="s">
        <v>379</v>
      </c>
      <c r="D210" s="3" t="s">
        <v>64</v>
      </c>
      <c r="E210" s="3" t="s">
        <v>7</v>
      </c>
      <c r="F210" s="3" t="s">
        <v>88</v>
      </c>
      <c r="G210" s="3" t="s">
        <v>380</v>
      </c>
    </row>
    <row r="211" spans="1:7" ht="18.75" x14ac:dyDescent="0.25">
      <c r="A211" s="3">
        <f t="shared" si="3"/>
        <v>210</v>
      </c>
      <c r="B211" s="3">
        <v>21787</v>
      </c>
      <c r="C211" s="3" t="s">
        <v>427</v>
      </c>
      <c r="D211" s="3" t="s">
        <v>35</v>
      </c>
      <c r="E211" s="3" t="s">
        <v>7</v>
      </c>
      <c r="F211" s="3" t="s">
        <v>88</v>
      </c>
      <c r="G211" s="3" t="s">
        <v>428</v>
      </c>
    </row>
    <row r="212" spans="1:7" ht="18.75" x14ac:dyDescent="0.25">
      <c r="A212" s="3">
        <f t="shared" si="3"/>
        <v>211</v>
      </c>
      <c r="B212" s="3">
        <v>21788</v>
      </c>
      <c r="C212" s="3" t="s">
        <v>460</v>
      </c>
      <c r="D212" s="3" t="s">
        <v>20</v>
      </c>
      <c r="E212" s="3" t="s">
        <v>10</v>
      </c>
      <c r="F212" s="3" t="s">
        <v>88</v>
      </c>
      <c r="G212" s="3" t="s">
        <v>461</v>
      </c>
    </row>
    <row r="213" spans="1:7" ht="18.75" x14ac:dyDescent="0.25">
      <c r="A213" s="3">
        <f t="shared" si="3"/>
        <v>212</v>
      </c>
      <c r="B213" s="3">
        <v>21789</v>
      </c>
      <c r="C213" s="3" t="s">
        <v>373</v>
      </c>
      <c r="D213" s="3" t="s">
        <v>35</v>
      </c>
      <c r="E213" s="3" t="s">
        <v>7</v>
      </c>
      <c r="F213" s="3" t="s">
        <v>88</v>
      </c>
      <c r="G213" s="3" t="s">
        <v>374</v>
      </c>
    </row>
    <row r="214" spans="1:7" ht="18.75" x14ac:dyDescent="0.25">
      <c r="A214" s="3">
        <f t="shared" si="3"/>
        <v>213</v>
      </c>
      <c r="B214" s="3">
        <v>21792</v>
      </c>
      <c r="C214" s="3" t="s">
        <v>454</v>
      </c>
      <c r="D214" s="3" t="s">
        <v>107</v>
      </c>
      <c r="E214" s="3" t="s">
        <v>7</v>
      </c>
      <c r="F214" s="3" t="s">
        <v>88</v>
      </c>
      <c r="G214" s="3" t="s">
        <v>455</v>
      </c>
    </row>
    <row r="215" spans="1:7" ht="18.75" x14ac:dyDescent="0.25">
      <c r="A215" s="3">
        <f t="shared" si="3"/>
        <v>214</v>
      </c>
      <c r="B215" s="3">
        <v>21797</v>
      </c>
      <c r="C215" s="3" t="s">
        <v>364</v>
      </c>
      <c r="D215" s="3" t="s">
        <v>24</v>
      </c>
      <c r="E215" s="3" t="s">
        <v>7</v>
      </c>
      <c r="F215" s="3" t="s">
        <v>88</v>
      </c>
      <c r="G215" s="3" t="s">
        <v>365</v>
      </c>
    </row>
    <row r="216" spans="1:7" ht="18.75" x14ac:dyDescent="0.25">
      <c r="A216" s="3">
        <f t="shared" si="3"/>
        <v>215</v>
      </c>
      <c r="B216" s="3">
        <v>21799</v>
      </c>
      <c r="C216" s="3" t="s">
        <v>508</v>
      </c>
      <c r="D216" s="3" t="s">
        <v>107</v>
      </c>
      <c r="E216" s="3" t="s">
        <v>7</v>
      </c>
      <c r="F216" s="3" t="s">
        <v>88</v>
      </c>
      <c r="G216" s="3" t="s">
        <v>509</v>
      </c>
    </row>
    <row r="217" spans="1:7" ht="18.75" x14ac:dyDescent="0.25">
      <c r="A217" s="3">
        <f t="shared" si="3"/>
        <v>216</v>
      </c>
      <c r="B217" s="3">
        <v>21802</v>
      </c>
      <c r="C217" s="3" t="s">
        <v>448</v>
      </c>
      <c r="D217" s="3" t="s">
        <v>15</v>
      </c>
      <c r="E217" s="3" t="s">
        <v>10</v>
      </c>
      <c r="F217" s="3" t="s">
        <v>88</v>
      </c>
      <c r="G217" s="3" t="s">
        <v>449</v>
      </c>
    </row>
    <row r="218" spans="1:7" ht="18.75" x14ac:dyDescent="0.25">
      <c r="A218" s="3">
        <f t="shared" si="3"/>
        <v>217</v>
      </c>
      <c r="B218" s="3">
        <v>21807</v>
      </c>
      <c r="C218" s="3" t="s">
        <v>377</v>
      </c>
      <c r="D218" s="3" t="s">
        <v>64</v>
      </c>
      <c r="E218" s="3" t="s">
        <v>7</v>
      </c>
      <c r="F218" s="3" t="s">
        <v>88</v>
      </c>
      <c r="G218" s="3" t="s">
        <v>378</v>
      </c>
    </row>
    <row r="219" spans="1:7" ht="18.75" x14ac:dyDescent="0.25">
      <c r="A219" s="3">
        <f t="shared" si="3"/>
        <v>218</v>
      </c>
      <c r="B219" s="3">
        <v>21817</v>
      </c>
      <c r="C219" s="3" t="s">
        <v>462</v>
      </c>
      <c r="D219" s="3" t="s">
        <v>20</v>
      </c>
      <c r="E219" s="3" t="s">
        <v>10</v>
      </c>
      <c r="F219" s="3" t="s">
        <v>88</v>
      </c>
      <c r="G219" s="3" t="s">
        <v>463</v>
      </c>
    </row>
    <row r="220" spans="1:7" ht="18.75" x14ac:dyDescent="0.25">
      <c r="A220" s="3">
        <f t="shared" si="3"/>
        <v>219</v>
      </c>
      <c r="B220" s="3">
        <v>21819</v>
      </c>
      <c r="C220" s="3" t="s">
        <v>425</v>
      </c>
      <c r="D220" s="3" t="s">
        <v>367</v>
      </c>
      <c r="E220" s="3" t="s">
        <v>7</v>
      </c>
      <c r="F220" s="3" t="s">
        <v>88</v>
      </c>
      <c r="G220" s="3" t="s">
        <v>426</v>
      </c>
    </row>
    <row r="221" spans="1:7" ht="18.75" x14ac:dyDescent="0.25">
      <c r="A221" s="3">
        <f t="shared" si="3"/>
        <v>220</v>
      </c>
      <c r="B221" s="3">
        <v>21829</v>
      </c>
      <c r="C221" s="3" t="s">
        <v>419</v>
      </c>
      <c r="D221" s="3" t="s">
        <v>35</v>
      </c>
      <c r="E221" s="3" t="s">
        <v>7</v>
      </c>
      <c r="F221" s="3" t="s">
        <v>88</v>
      </c>
      <c r="G221" s="3" t="s">
        <v>420</v>
      </c>
    </row>
    <row r="222" spans="1:7" ht="18.75" x14ac:dyDescent="0.25">
      <c r="A222" s="3">
        <f t="shared" si="3"/>
        <v>221</v>
      </c>
      <c r="B222" s="3">
        <v>21836</v>
      </c>
      <c r="C222" s="3" t="s">
        <v>440</v>
      </c>
      <c r="D222" s="3" t="s">
        <v>35</v>
      </c>
      <c r="E222" s="3" t="s">
        <v>7</v>
      </c>
      <c r="F222" s="3" t="s">
        <v>88</v>
      </c>
      <c r="G222" s="3" t="s">
        <v>441</v>
      </c>
    </row>
    <row r="223" spans="1:7" ht="18.75" x14ac:dyDescent="0.25">
      <c r="A223" s="3">
        <f t="shared" si="3"/>
        <v>222</v>
      </c>
      <c r="B223" s="3">
        <v>21837</v>
      </c>
      <c r="C223" s="3" t="s">
        <v>429</v>
      </c>
      <c r="D223" s="3" t="s">
        <v>430</v>
      </c>
      <c r="E223" s="3" t="s">
        <v>73</v>
      </c>
      <c r="F223" s="3" t="s">
        <v>88</v>
      </c>
      <c r="G223" s="3" t="s">
        <v>431</v>
      </c>
    </row>
    <row r="224" spans="1:7" ht="18.75" x14ac:dyDescent="0.25">
      <c r="A224" s="3">
        <f t="shared" si="3"/>
        <v>223</v>
      </c>
      <c r="B224" s="3">
        <v>21839</v>
      </c>
      <c r="C224" s="3" t="s">
        <v>423</v>
      </c>
      <c r="D224" s="3" t="s">
        <v>35</v>
      </c>
      <c r="E224" s="3" t="s">
        <v>7</v>
      </c>
      <c r="F224" s="3" t="s">
        <v>88</v>
      </c>
      <c r="G224" s="3" t="s">
        <v>424</v>
      </c>
    </row>
    <row r="225" spans="1:7" ht="18.75" x14ac:dyDescent="0.25">
      <c r="A225" s="3">
        <f t="shared" si="3"/>
        <v>224</v>
      </c>
      <c r="B225" s="3">
        <v>21840</v>
      </c>
      <c r="C225" s="3" t="s">
        <v>450</v>
      </c>
      <c r="D225" s="3" t="s">
        <v>430</v>
      </c>
      <c r="E225" s="3" t="s">
        <v>73</v>
      </c>
      <c r="F225" s="3" t="s">
        <v>88</v>
      </c>
      <c r="G225" s="3" t="s">
        <v>451</v>
      </c>
    </row>
    <row r="226" spans="1:7" ht="18.75" x14ac:dyDescent="0.25">
      <c r="A226" s="3">
        <f t="shared" si="3"/>
        <v>225</v>
      </c>
      <c r="B226" s="3">
        <v>21847</v>
      </c>
      <c r="C226" s="3" t="s">
        <v>496</v>
      </c>
      <c r="D226" s="3" t="s">
        <v>43</v>
      </c>
      <c r="E226" s="3" t="s">
        <v>7</v>
      </c>
      <c r="F226" s="3" t="s">
        <v>88</v>
      </c>
      <c r="G226" s="3" t="s">
        <v>497</v>
      </c>
    </row>
    <row r="227" spans="1:7" ht="18.75" x14ac:dyDescent="0.25">
      <c r="A227" s="3">
        <f t="shared" si="3"/>
        <v>226</v>
      </c>
      <c r="B227" s="3">
        <v>21850</v>
      </c>
      <c r="C227" s="3" t="s">
        <v>438</v>
      </c>
      <c r="D227" s="3" t="s">
        <v>24</v>
      </c>
      <c r="E227" s="3" t="s">
        <v>7</v>
      </c>
      <c r="F227" s="3" t="s">
        <v>88</v>
      </c>
      <c r="G227" s="3" t="s">
        <v>439</v>
      </c>
    </row>
    <row r="228" spans="1:7" ht="18.75" x14ac:dyDescent="0.25">
      <c r="A228" s="3">
        <f t="shared" si="3"/>
        <v>227</v>
      </c>
      <c r="B228" s="3">
        <v>21851</v>
      </c>
      <c r="C228" s="3" t="s">
        <v>434</v>
      </c>
      <c r="D228" s="3" t="s">
        <v>46</v>
      </c>
      <c r="E228" s="3" t="s">
        <v>7</v>
      </c>
      <c r="F228" s="3" t="s">
        <v>88</v>
      </c>
      <c r="G228" s="3" t="s">
        <v>435</v>
      </c>
    </row>
    <row r="229" spans="1:7" ht="18.75" x14ac:dyDescent="0.25">
      <c r="A229" s="3">
        <f t="shared" si="3"/>
        <v>228</v>
      </c>
      <c r="B229" s="3">
        <v>21858</v>
      </c>
      <c r="C229" s="3" t="s">
        <v>478</v>
      </c>
      <c r="D229" s="3" t="s">
        <v>104</v>
      </c>
      <c r="E229" s="3" t="s">
        <v>105</v>
      </c>
      <c r="F229" s="3" t="s">
        <v>88</v>
      </c>
      <c r="G229" s="3" t="s">
        <v>479</v>
      </c>
    </row>
    <row r="230" spans="1:7" ht="18.75" x14ac:dyDescent="0.25">
      <c r="A230" s="3">
        <f t="shared" si="3"/>
        <v>229</v>
      </c>
      <c r="B230" s="3">
        <v>21863</v>
      </c>
      <c r="C230" s="3" t="s">
        <v>470</v>
      </c>
      <c r="D230" s="3" t="s">
        <v>84</v>
      </c>
      <c r="E230" s="3" t="s">
        <v>83</v>
      </c>
      <c r="F230" s="3" t="s">
        <v>88</v>
      </c>
      <c r="G230" s="3" t="s">
        <v>471</v>
      </c>
    </row>
    <row r="231" spans="1:7" ht="18.75" x14ac:dyDescent="0.25">
      <c r="A231" s="3">
        <f t="shared" si="3"/>
        <v>230</v>
      </c>
      <c r="B231" s="3">
        <v>21864</v>
      </c>
      <c r="C231" s="3" t="s">
        <v>452</v>
      </c>
      <c r="D231" s="3" t="s">
        <v>129</v>
      </c>
      <c r="E231" s="3" t="s">
        <v>10</v>
      </c>
      <c r="F231" s="3" t="s">
        <v>88</v>
      </c>
      <c r="G231" s="3" t="s">
        <v>453</v>
      </c>
    </row>
    <row r="232" spans="1:7" ht="18.75" x14ac:dyDescent="0.25">
      <c r="A232" s="3">
        <f t="shared" si="3"/>
        <v>231</v>
      </c>
      <c r="B232" s="3">
        <v>21877</v>
      </c>
      <c r="C232" s="3" t="s">
        <v>484</v>
      </c>
      <c r="D232" s="3" t="s">
        <v>62</v>
      </c>
      <c r="E232" s="3" t="s">
        <v>7</v>
      </c>
      <c r="F232" s="3" t="s">
        <v>88</v>
      </c>
      <c r="G232" s="3" t="s">
        <v>485</v>
      </c>
    </row>
    <row r="233" spans="1:7" ht="18.75" x14ac:dyDescent="0.25">
      <c r="A233" s="3">
        <f t="shared" si="3"/>
        <v>232</v>
      </c>
      <c r="B233" s="3">
        <v>21880</v>
      </c>
      <c r="C233" s="3" t="s">
        <v>523</v>
      </c>
      <c r="D233" s="3" t="s">
        <v>68</v>
      </c>
      <c r="E233" s="3" t="s">
        <v>7</v>
      </c>
      <c r="F233" s="3" t="s">
        <v>88</v>
      </c>
      <c r="G233" s="3" t="s">
        <v>524</v>
      </c>
    </row>
    <row r="234" spans="1:7" ht="18.75" x14ac:dyDescent="0.25">
      <c r="A234" s="3">
        <f t="shared" si="3"/>
        <v>233</v>
      </c>
      <c r="B234" s="3">
        <v>21883</v>
      </c>
      <c r="C234" s="3" t="s">
        <v>486</v>
      </c>
      <c r="D234" s="3" t="s">
        <v>52</v>
      </c>
      <c r="E234" s="3" t="s">
        <v>7</v>
      </c>
      <c r="F234" s="3" t="s">
        <v>88</v>
      </c>
      <c r="G234" s="3" t="s">
        <v>487</v>
      </c>
    </row>
    <row r="235" spans="1:7" ht="18.75" x14ac:dyDescent="0.25">
      <c r="A235" s="3">
        <f t="shared" si="3"/>
        <v>234</v>
      </c>
      <c r="B235" s="3">
        <v>21888</v>
      </c>
      <c r="C235" s="3" t="s">
        <v>500</v>
      </c>
      <c r="D235" s="3" t="s">
        <v>430</v>
      </c>
      <c r="E235" s="3" t="s">
        <v>73</v>
      </c>
      <c r="F235" s="3" t="s">
        <v>88</v>
      </c>
      <c r="G235" s="3" t="s">
        <v>501</v>
      </c>
    </row>
    <row r="236" spans="1:7" ht="18.75" x14ac:dyDescent="0.25">
      <c r="A236" s="3">
        <f t="shared" si="3"/>
        <v>235</v>
      </c>
      <c r="B236" s="3">
        <v>21889</v>
      </c>
      <c r="C236" s="3" t="s">
        <v>504</v>
      </c>
      <c r="D236" s="3" t="s">
        <v>104</v>
      </c>
      <c r="E236" s="3" t="s">
        <v>105</v>
      </c>
      <c r="F236" s="3" t="s">
        <v>88</v>
      </c>
      <c r="G236" s="3" t="s">
        <v>505</v>
      </c>
    </row>
    <row r="237" spans="1:7" ht="18.75" x14ac:dyDescent="0.25">
      <c r="A237" s="3">
        <f t="shared" si="3"/>
        <v>236</v>
      </c>
      <c r="B237" s="3">
        <v>21898</v>
      </c>
      <c r="C237" s="3" t="s">
        <v>510</v>
      </c>
      <c r="D237" s="3" t="s">
        <v>66</v>
      </c>
      <c r="E237" s="3" t="s">
        <v>7</v>
      </c>
      <c r="F237" s="3" t="s">
        <v>88</v>
      </c>
      <c r="G237" s="3" t="s">
        <v>511</v>
      </c>
    </row>
    <row r="238" spans="1:7" ht="18.75" x14ac:dyDescent="0.25">
      <c r="A238" s="3">
        <f t="shared" si="3"/>
        <v>237</v>
      </c>
      <c r="B238" s="3">
        <v>21916</v>
      </c>
      <c r="C238" s="3" t="s">
        <v>506</v>
      </c>
      <c r="D238" s="3" t="s">
        <v>68</v>
      </c>
      <c r="E238" s="3" t="s">
        <v>7</v>
      </c>
      <c r="F238" s="3" t="s">
        <v>88</v>
      </c>
      <c r="G238" s="3" t="s">
        <v>507</v>
      </c>
    </row>
    <row r="239" spans="1:7" ht="18.75" x14ac:dyDescent="0.25">
      <c r="A239" s="3">
        <f t="shared" si="3"/>
        <v>238</v>
      </c>
      <c r="B239" s="3">
        <v>21913</v>
      </c>
      <c r="C239" s="3" t="s">
        <v>525</v>
      </c>
      <c r="D239" s="3" t="s">
        <v>24</v>
      </c>
      <c r="E239" s="3" t="s">
        <v>7</v>
      </c>
      <c r="F239" s="3" t="s">
        <v>88</v>
      </c>
      <c r="G239" s="3" t="s">
        <v>526</v>
      </c>
    </row>
    <row r="240" spans="1:7" ht="18.75" x14ac:dyDescent="0.25">
      <c r="A240" s="3">
        <f>ROW()-1</f>
        <v>239</v>
      </c>
      <c r="B240" s="3">
        <v>10549</v>
      </c>
      <c r="C240" s="3" t="s">
        <v>527</v>
      </c>
      <c r="D240" s="3" t="s">
        <v>528</v>
      </c>
      <c r="E240" s="3" t="s">
        <v>77</v>
      </c>
      <c r="F240" s="3" t="s">
        <v>88</v>
      </c>
      <c r="G240" s="3" t="s">
        <v>529</v>
      </c>
    </row>
    <row r="241" spans="1:7" ht="18.75" x14ac:dyDescent="0.25">
      <c r="A241" s="3">
        <f>ROW()-1</f>
        <v>240</v>
      </c>
      <c r="B241" s="3"/>
      <c r="C241" s="3"/>
      <c r="D241" s="3"/>
      <c r="E241" s="3"/>
      <c r="F241" s="3"/>
      <c r="G241" s="3"/>
    </row>
  </sheetData>
  <conditionalFormatting sqref="B1:B1048576">
    <cfRule type="duplicateValues" dxfId="1" priority="2"/>
  </conditionalFormatting>
  <conditionalFormatting sqref="B2:B241"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20FC-D4C7-424A-870C-F1AC7FD39257}">
  <dimension ref="A1:H6"/>
  <sheetViews>
    <sheetView rightToLeft="1" workbookViewId="0">
      <selection activeCell="B6" sqref="B6"/>
    </sheetView>
  </sheetViews>
  <sheetFormatPr defaultRowHeight="15" x14ac:dyDescent="0.25"/>
  <cols>
    <col min="1" max="1" width="3.7109375" bestFit="1" customWidth="1"/>
    <col min="2" max="2" width="11.28515625" bestFit="1" customWidth="1"/>
    <col min="3" max="3" width="81.7109375" bestFit="1" customWidth="1"/>
    <col min="4" max="4" width="24.5703125" bestFit="1" customWidth="1"/>
    <col min="5" max="6" width="9.7109375" bestFit="1" customWidth="1"/>
    <col min="7" max="7" width="14.85546875" bestFit="1" customWidth="1"/>
    <col min="8" max="8" width="11.85546875" bestFit="1" customWidth="1"/>
  </cols>
  <sheetData>
    <row r="1" spans="1:8" ht="18.75" x14ac:dyDescent="0.25">
      <c r="A1" s="36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37" t="s">
        <v>87</v>
      </c>
      <c r="G1" s="37" t="s">
        <v>156</v>
      </c>
      <c r="H1" s="37" t="s">
        <v>516</v>
      </c>
    </row>
    <row r="2" spans="1:8" ht="18.75" x14ac:dyDescent="0.25">
      <c r="A2" s="38">
        <f>ROW()-1</f>
        <v>1</v>
      </c>
      <c r="B2" s="3">
        <v>21911</v>
      </c>
      <c r="C2" s="3" t="s">
        <v>512</v>
      </c>
      <c r="D2" s="3" t="s">
        <v>513</v>
      </c>
      <c r="E2" s="3" t="s">
        <v>514</v>
      </c>
      <c r="F2" s="39" t="s">
        <v>88</v>
      </c>
      <c r="G2" s="39" t="s">
        <v>515</v>
      </c>
      <c r="H2" s="39" t="s">
        <v>517</v>
      </c>
    </row>
    <row r="3" spans="1:8" ht="18.75" x14ac:dyDescent="0.25">
      <c r="A3" s="38">
        <f>ROW()-1</f>
        <v>2</v>
      </c>
      <c r="B3" s="3">
        <v>10617</v>
      </c>
      <c r="C3" s="3" t="s">
        <v>518</v>
      </c>
      <c r="D3" s="3" t="s">
        <v>64</v>
      </c>
      <c r="E3" s="3" t="s">
        <v>7</v>
      </c>
      <c r="F3" s="39" t="s">
        <v>88</v>
      </c>
      <c r="G3" s="39" t="s">
        <v>519</v>
      </c>
      <c r="H3" s="39" t="s">
        <v>520</v>
      </c>
    </row>
    <row r="4" spans="1:8" ht="18.75" x14ac:dyDescent="0.25">
      <c r="A4" s="38">
        <f>ROW()-1</f>
        <v>3</v>
      </c>
      <c r="B4" s="3">
        <v>21293</v>
      </c>
      <c r="C4" s="3" t="s">
        <v>521</v>
      </c>
      <c r="D4" s="3" t="s">
        <v>64</v>
      </c>
      <c r="E4" s="3" t="s">
        <v>7</v>
      </c>
      <c r="F4" s="39" t="s">
        <v>88</v>
      </c>
      <c r="G4" s="39" t="s">
        <v>522</v>
      </c>
      <c r="H4" s="39" t="s">
        <v>520</v>
      </c>
    </row>
    <row r="5" spans="1:8" ht="18.75" x14ac:dyDescent="0.25">
      <c r="A5" s="38">
        <f>ROW()-1</f>
        <v>4</v>
      </c>
      <c r="B5" s="3">
        <v>21766</v>
      </c>
      <c r="C5" s="3" t="s">
        <v>468</v>
      </c>
      <c r="D5" s="3" t="s">
        <v>15</v>
      </c>
      <c r="E5" s="3" t="s">
        <v>10</v>
      </c>
      <c r="F5" s="39" t="s">
        <v>88</v>
      </c>
      <c r="G5" s="39" t="s">
        <v>467</v>
      </c>
      <c r="H5" s="39" t="s">
        <v>520</v>
      </c>
    </row>
    <row r="6" spans="1:8" ht="18.75" x14ac:dyDescent="0.25">
      <c r="A6" s="38">
        <f>ROW()-1</f>
        <v>5</v>
      </c>
      <c r="B6" s="3"/>
      <c r="C6" s="3"/>
      <c r="D6" s="3"/>
      <c r="E6" s="3"/>
      <c r="F6" s="39"/>
      <c r="G6" s="39"/>
      <c r="H6" s="3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6050-FB7D-4193-8E9E-199F19695B01}">
  <dimension ref="A1:I43"/>
  <sheetViews>
    <sheetView rightToLeft="1" workbookViewId="0">
      <selection activeCell="G17" sqref="G17"/>
    </sheetView>
  </sheetViews>
  <sheetFormatPr defaultRowHeight="15" x14ac:dyDescent="0.25"/>
  <cols>
    <col min="1" max="1" width="4.140625" bestFit="1" customWidth="1"/>
    <col min="2" max="2" width="58" customWidth="1"/>
    <col min="3" max="4" width="13.28515625" customWidth="1"/>
    <col min="5" max="5" width="8.85546875" customWidth="1"/>
    <col min="6" max="6" width="3.7109375" customWidth="1"/>
    <col min="7" max="7" width="59.7109375" bestFit="1" customWidth="1"/>
    <col min="8" max="8" width="13.28515625" bestFit="1" customWidth="1"/>
    <col min="9" max="9" width="13.42578125" customWidth="1"/>
    <col min="10" max="10" width="8.85546875" customWidth="1"/>
    <col min="11" max="11" width="3.7109375" bestFit="1" customWidth="1"/>
    <col min="12" max="12" width="55.7109375" customWidth="1"/>
    <col min="13" max="13" width="13.28515625" bestFit="1" customWidth="1"/>
  </cols>
  <sheetData>
    <row r="1" spans="1:9" ht="18.75" x14ac:dyDescent="0.25">
      <c r="A1" s="5" t="s">
        <v>0</v>
      </c>
      <c r="B1" s="6" t="s">
        <v>13</v>
      </c>
      <c r="C1" s="6" t="s">
        <v>5</v>
      </c>
      <c r="D1" s="22" t="s">
        <v>6</v>
      </c>
      <c r="E1" s="18"/>
      <c r="F1" s="25" t="s">
        <v>0</v>
      </c>
      <c r="G1" s="2" t="s">
        <v>3</v>
      </c>
      <c r="H1" s="2" t="s">
        <v>5</v>
      </c>
      <c r="I1" s="6" t="s">
        <v>6</v>
      </c>
    </row>
    <row r="2" spans="1:9" ht="18.75" x14ac:dyDescent="0.25">
      <c r="A2" s="2">
        <f t="shared" ref="A2:A41" si="0">ROW()-1</f>
        <v>1</v>
      </c>
      <c r="B2" s="1" t="s">
        <v>133</v>
      </c>
      <c r="C2" s="2">
        <f>COUNTIF(Table1[جهة الخدمة],Table3[[#This Row],[اسم الجهة]])</f>
        <v>2</v>
      </c>
      <c r="D2" s="23">
        <f>Table3[[#This Row],[عدد الخدمات]]/Table3[[#Totals],[عدد الخدمات]]</f>
        <v>8.368200836820083E-3</v>
      </c>
      <c r="E2" s="18"/>
      <c r="F2" s="25">
        <f t="shared" ref="F2:F8" si="1">ROW()-1</f>
        <v>1</v>
      </c>
      <c r="G2" s="2" t="s">
        <v>83</v>
      </c>
      <c r="H2" s="2">
        <f>COUNTIF(Table1[نوع الجهة],Table2[[#This Row],[نوع الجهة]])</f>
        <v>7</v>
      </c>
      <c r="I2" s="16">
        <f>Table2[[#This Row],[عدد الخدمات]]/Table2[[#Totals],[عدد الخدمات]]</f>
        <v>2.9288702928870293E-2</v>
      </c>
    </row>
    <row r="3" spans="1:9" ht="18.75" x14ac:dyDescent="0.25">
      <c r="A3" s="8">
        <f t="shared" si="0"/>
        <v>2</v>
      </c>
      <c r="B3" s="3" t="s">
        <v>430</v>
      </c>
      <c r="C3" s="8">
        <f>COUNTIF(Table1[جهة الخدمة],Table3[[#This Row],[اسم الجهة]])</f>
        <v>6</v>
      </c>
      <c r="D3" s="24">
        <f>Table3[[#This Row],[عدد الخدمات]]/Table3[[#Totals],[عدد الخدمات]]</f>
        <v>2.5104602510460251E-2</v>
      </c>
      <c r="E3" s="18"/>
      <c r="F3" s="25">
        <f t="shared" si="1"/>
        <v>2</v>
      </c>
      <c r="G3" s="2" t="s">
        <v>134</v>
      </c>
      <c r="H3" s="2">
        <f>COUNTIF(Table1[نوع الجهة],Table2[[#This Row],[نوع الجهة]])</f>
        <v>2</v>
      </c>
      <c r="I3" s="16">
        <f>Table2[[#This Row],[عدد الخدمات]]/Table2[[#Totals],[عدد الخدمات]]</f>
        <v>8.368200836820083E-3</v>
      </c>
    </row>
    <row r="4" spans="1:9" ht="18.75" x14ac:dyDescent="0.25">
      <c r="A4" s="8">
        <f t="shared" si="0"/>
        <v>3</v>
      </c>
      <c r="B4" s="3" t="s">
        <v>79</v>
      </c>
      <c r="C4" s="8">
        <f>COUNTIF(Table1[جهة الخدمة],Table3[[#This Row],[اسم الجهة]])</f>
        <v>16</v>
      </c>
      <c r="D4" s="24">
        <f>Table3[[#This Row],[عدد الخدمات]]/Table3[[#Totals],[عدد الخدمات]]</f>
        <v>6.6945606694560664E-2</v>
      </c>
      <c r="E4" s="18"/>
      <c r="F4" s="25">
        <f t="shared" si="1"/>
        <v>3</v>
      </c>
      <c r="G4" s="2" t="s">
        <v>77</v>
      </c>
      <c r="H4" s="2">
        <f>COUNTIF(Table1[نوع الجهة],Table2[[#This Row],[نوع الجهة]])</f>
        <v>4</v>
      </c>
      <c r="I4" s="16">
        <f>Table2[[#This Row],[عدد الخدمات]]/Table2[[#Totals],[عدد الخدمات]]</f>
        <v>1.6736401673640166E-2</v>
      </c>
    </row>
    <row r="5" spans="1:9" ht="18.75" x14ac:dyDescent="0.25">
      <c r="A5" s="8">
        <f t="shared" si="0"/>
        <v>4</v>
      </c>
      <c r="B5" s="8" t="s">
        <v>354</v>
      </c>
      <c r="C5" s="8">
        <f>COUNTIF(Table1[جهة الخدمة],Table3[[#This Row],[اسم الجهة]])</f>
        <v>2</v>
      </c>
      <c r="D5" s="24">
        <f>Table3[[#This Row],[عدد الخدمات]]/Table3[[#Totals],[عدد الخدمات]]</f>
        <v>8.368200836820083E-3</v>
      </c>
      <c r="E5" s="18"/>
      <c r="F5" s="25">
        <f t="shared" si="1"/>
        <v>4</v>
      </c>
      <c r="G5" s="2" t="s">
        <v>10</v>
      </c>
      <c r="H5" s="2">
        <f>COUNTIF(Table1[نوع الجهة],Table2[[#This Row],[نوع الجهة]])</f>
        <v>45</v>
      </c>
      <c r="I5" s="16">
        <f>Table2[[#This Row],[عدد الخدمات]]/Table2[[#Totals],[عدد الخدمات]]</f>
        <v>0.18828451882845187</v>
      </c>
    </row>
    <row r="6" spans="1:9" ht="18.75" x14ac:dyDescent="0.25">
      <c r="A6" s="8">
        <f t="shared" si="0"/>
        <v>5</v>
      </c>
      <c r="B6" s="3" t="s">
        <v>84</v>
      </c>
      <c r="C6" s="8">
        <f>COUNTIF(Table1[جهة الخدمة],Table3[[#This Row],[اسم الجهة]])</f>
        <v>5</v>
      </c>
      <c r="D6" s="24">
        <f>Table3[[#This Row],[عدد الخدمات]]/Table3[[#Totals],[عدد الخدمات]]</f>
        <v>2.0920502092050208E-2</v>
      </c>
      <c r="E6" s="18"/>
      <c r="F6" s="25">
        <f t="shared" si="1"/>
        <v>5</v>
      </c>
      <c r="G6" s="2" t="s">
        <v>105</v>
      </c>
      <c r="H6" s="2">
        <f>COUNTIF(Table1[نوع الجهة],Table2[[#This Row],[نوع الجهة]])</f>
        <v>5</v>
      </c>
      <c r="I6" s="16">
        <f>Table2[[#This Row],[عدد الخدمات]]/Table2[[#Totals],[عدد الخدمات]]</f>
        <v>2.0920502092050208E-2</v>
      </c>
    </row>
    <row r="7" spans="1:9" ht="18.75" x14ac:dyDescent="0.25">
      <c r="A7" s="8">
        <f t="shared" si="0"/>
        <v>6</v>
      </c>
      <c r="B7" s="3" t="s">
        <v>76</v>
      </c>
      <c r="C7" s="8">
        <f>COUNTIF(Table1[جهة الخدمة],Table3[[#This Row],[اسم الجهة]])</f>
        <v>3</v>
      </c>
      <c r="D7" s="24">
        <f>Table3[[#This Row],[عدد الخدمات]]/Table3[[#Totals],[عدد الخدمات]]</f>
        <v>1.2552301255230125E-2</v>
      </c>
      <c r="E7" s="18"/>
      <c r="F7" s="7">
        <f t="shared" si="1"/>
        <v>6</v>
      </c>
      <c r="G7" s="8" t="s">
        <v>73</v>
      </c>
      <c r="H7" s="8">
        <f>COUNTIF(Table1[نوع الجهة],Table2[[#This Row],[نوع الجهة]])</f>
        <v>25</v>
      </c>
      <c r="I7" s="19">
        <f>Table2[[#This Row],[عدد الخدمات]]/Table2[[#Totals],[عدد الخدمات]]</f>
        <v>0.10460251046025104</v>
      </c>
    </row>
    <row r="8" spans="1:9" ht="18.75" x14ac:dyDescent="0.25">
      <c r="A8" s="8">
        <f t="shared" si="0"/>
        <v>7</v>
      </c>
      <c r="B8" s="3" t="s">
        <v>314</v>
      </c>
      <c r="C8" s="8">
        <f>COUNTIF(Table1[جهة الخدمة],Table3[[#This Row],[اسم الجهة]])</f>
        <v>1</v>
      </c>
      <c r="D8" s="24">
        <f>Table3[[#This Row],[عدد الخدمات]]/Table3[[#Totals],[عدد الخدمات]]</f>
        <v>4.1841004184100415E-3</v>
      </c>
      <c r="E8" s="18"/>
      <c r="F8" s="7">
        <f t="shared" si="1"/>
        <v>7</v>
      </c>
      <c r="G8" s="8" t="s">
        <v>7</v>
      </c>
      <c r="H8" s="8">
        <f>COUNTIF(Table1[نوع الجهة],Table2[[#This Row],[نوع الجهة]])</f>
        <v>151</v>
      </c>
      <c r="I8" s="19">
        <f>Table2[[#This Row],[عدد الخدمات]]/Table2[[#Totals],[عدد الخدمات]]</f>
        <v>0.63179916317991636</v>
      </c>
    </row>
    <row r="9" spans="1:9" ht="18.75" x14ac:dyDescent="0.25">
      <c r="A9" s="8">
        <f t="shared" si="0"/>
        <v>8</v>
      </c>
      <c r="B9" s="3" t="s">
        <v>95</v>
      </c>
      <c r="C9" s="8">
        <f>COUNTIF(Table1[جهة الخدمة],Table3[[#This Row],[اسم الجهة]])</f>
        <v>1</v>
      </c>
      <c r="D9" s="24">
        <f>Table3[[#This Row],[عدد الخدمات]]/Table3[[#Totals],[عدد الخدمات]]</f>
        <v>4.1841004184100415E-3</v>
      </c>
      <c r="E9" s="18"/>
      <c r="F9" s="26"/>
      <c r="G9" s="17" t="s">
        <v>16</v>
      </c>
      <c r="H9" s="17">
        <f>SUBTOTAL(109,Table2[عدد الخدمات])</f>
        <v>239</v>
      </c>
      <c r="I9" s="21"/>
    </row>
    <row r="10" spans="1:9" ht="18.75" x14ac:dyDescent="0.25">
      <c r="A10" s="8">
        <f t="shared" si="0"/>
        <v>9</v>
      </c>
      <c r="B10" s="3" t="s">
        <v>15</v>
      </c>
      <c r="C10" s="8">
        <f>COUNTIF(Table1[جهة الخدمة],Table3[[#This Row],[اسم الجهة]])</f>
        <v>13</v>
      </c>
      <c r="D10" s="24">
        <f>Table3[[#This Row],[عدد الخدمات]]/Table3[[#Totals],[عدد الخدمات]]</f>
        <v>5.4393305439330547E-2</v>
      </c>
      <c r="E10" s="18"/>
      <c r="F10" s="25"/>
      <c r="G10" s="2"/>
      <c r="H10" s="2"/>
      <c r="I10" s="2"/>
    </row>
    <row r="11" spans="1:9" ht="18.75" x14ac:dyDescent="0.3">
      <c r="A11" s="8">
        <f t="shared" si="0"/>
        <v>10</v>
      </c>
      <c r="B11" s="3" t="s">
        <v>119</v>
      </c>
      <c r="C11" s="8">
        <f>COUNTIF(Table1[جهة الخدمة],Table3[[#This Row],[اسم الجهة]])</f>
        <v>2</v>
      </c>
      <c r="D11" s="24">
        <f>Table3[[#This Row],[عدد الخدمات]]/Table3[[#Totals],[عدد الخدمات]]</f>
        <v>8.368200836820083E-3</v>
      </c>
      <c r="E11" s="18"/>
      <c r="F11" s="9" t="s">
        <v>90</v>
      </c>
      <c r="G11" s="10" t="s">
        <v>87</v>
      </c>
      <c r="H11" s="10" t="s">
        <v>5</v>
      </c>
      <c r="I11" s="11" t="s">
        <v>6</v>
      </c>
    </row>
    <row r="12" spans="1:9" ht="18.75" x14ac:dyDescent="0.3">
      <c r="A12" s="8">
        <f t="shared" si="0"/>
        <v>11</v>
      </c>
      <c r="B12" s="3" t="s">
        <v>22</v>
      </c>
      <c r="C12" s="8">
        <f>COUNTIF(Table1[جهة الخدمة],Table3[[#This Row],[اسم الجهة]])</f>
        <v>2</v>
      </c>
      <c r="D12" s="24">
        <f>Table3[[#This Row],[عدد الخدمات]]/Table3[[#Totals],[عدد الخدمات]]</f>
        <v>8.368200836820083E-3</v>
      </c>
      <c r="E12" s="18"/>
      <c r="F12" s="12">
        <v>1</v>
      </c>
      <c r="G12" s="13" t="s">
        <v>89</v>
      </c>
      <c r="H12" s="13">
        <f>COUNTIF(Table1[نوع العمل],Table4[[#This Row],[نوع العمل]])</f>
        <v>17</v>
      </c>
      <c r="I12" s="15">
        <f>Table4[[#This Row],[عدد الخدمات]]/Table4[[#Totals],[عدد الخدمات]]</f>
        <v>7.1129707112970716E-2</v>
      </c>
    </row>
    <row r="13" spans="1:9" ht="18.75" x14ac:dyDescent="0.3">
      <c r="A13" s="8">
        <f t="shared" si="0"/>
        <v>12</v>
      </c>
      <c r="B13" s="3" t="s">
        <v>12</v>
      </c>
      <c r="C13" s="8">
        <f>COUNTIF(Table1[جهة الخدمة],Table3[[#This Row],[اسم الجهة]])</f>
        <v>3</v>
      </c>
      <c r="D13" s="24">
        <f>Table3[[#This Row],[عدد الخدمات]]/Table3[[#Totals],[عدد الخدمات]]</f>
        <v>1.2552301255230125E-2</v>
      </c>
      <c r="E13" s="18"/>
      <c r="F13" s="12">
        <v>2</v>
      </c>
      <c r="G13" s="13" t="s">
        <v>88</v>
      </c>
      <c r="H13" s="13">
        <f>COUNTIF(Table1[نوع العمل],Table4[[#This Row],[نوع العمل]])</f>
        <v>222</v>
      </c>
      <c r="I13" s="15">
        <f>Table4[[#This Row],[عدد الخدمات]]/Table4[[#Totals],[عدد الخدمات]]</f>
        <v>0.92887029288702927</v>
      </c>
    </row>
    <row r="14" spans="1:9" ht="18.75" x14ac:dyDescent="0.3">
      <c r="A14" s="8">
        <f t="shared" si="0"/>
        <v>13</v>
      </c>
      <c r="B14" s="3" t="s">
        <v>129</v>
      </c>
      <c r="C14" s="8">
        <f>COUNTIF(Table1[جهة الخدمة],Table3[[#This Row],[اسم الجهة]])</f>
        <v>2</v>
      </c>
      <c r="D14" s="24">
        <f>Table3[[#This Row],[عدد الخدمات]]/Table3[[#Totals],[عدد الخدمات]]</f>
        <v>8.368200836820083E-3</v>
      </c>
      <c r="E14" s="18"/>
      <c r="F14" s="12"/>
      <c r="G14" s="13" t="s">
        <v>16</v>
      </c>
      <c r="H14" s="13">
        <f>SUBTOTAL(109,Table4[عدد الخدمات])</f>
        <v>239</v>
      </c>
      <c r="I14" s="14"/>
    </row>
    <row r="15" spans="1:9" ht="18.75" x14ac:dyDescent="0.25">
      <c r="A15" s="8">
        <f t="shared" si="0"/>
        <v>14</v>
      </c>
      <c r="B15" s="3" t="s">
        <v>115</v>
      </c>
      <c r="C15" s="8">
        <f>COUNTIF(Table1[جهة الخدمة],Table3[[#This Row],[اسم الجهة]])</f>
        <v>1</v>
      </c>
      <c r="D15" s="24">
        <f>Table3[[#This Row],[عدد الخدمات]]/Table3[[#Totals],[عدد الخدمات]]</f>
        <v>4.1841004184100415E-3</v>
      </c>
      <c r="E15" s="18"/>
    </row>
    <row r="16" spans="1:9" ht="18.75" x14ac:dyDescent="0.25">
      <c r="A16" s="8">
        <f t="shared" si="0"/>
        <v>15</v>
      </c>
      <c r="B16" s="3" t="s">
        <v>20</v>
      </c>
      <c r="C16" s="8">
        <f>COUNTIF(Table1[جهة الخدمة],Table3[[#This Row],[اسم الجهة]])</f>
        <v>16</v>
      </c>
      <c r="D16" s="24">
        <f>Table3[[#This Row],[عدد الخدمات]]/Table3[[#Totals],[عدد الخدمات]]</f>
        <v>6.6945606694560664E-2</v>
      </c>
      <c r="E16" s="18"/>
      <c r="F16" s="27" t="s">
        <v>0</v>
      </c>
      <c r="G16" s="28" t="s">
        <v>3</v>
      </c>
      <c r="H16" s="28" t="s">
        <v>5</v>
      </c>
      <c r="I16" s="31" t="s">
        <v>6</v>
      </c>
    </row>
    <row r="17" spans="1:9" ht="18.75" x14ac:dyDescent="0.25">
      <c r="A17" s="8">
        <f t="shared" si="0"/>
        <v>16</v>
      </c>
      <c r="B17" s="3" t="s">
        <v>18</v>
      </c>
      <c r="C17" s="8">
        <f>COUNTIF(Table1[جهة الخدمة],Table3[[#This Row],[اسم الجهة]])</f>
        <v>1</v>
      </c>
      <c r="D17" s="24">
        <f>Table3[[#This Row],[عدد الخدمات]]/Table3[[#Totals],[عدد الخدمات]]</f>
        <v>4.1841004184100415E-3</v>
      </c>
      <c r="E17" s="18"/>
      <c r="F17" s="29">
        <f>ROW()-16</f>
        <v>1</v>
      </c>
      <c r="G17" s="30" t="str" cm="1">
        <f t="array" ref="G17:H19">_xlfn.TAKE(_xlfn.SORTBY(Table3[[اسم الجهة]:[عدد الخدمات]],Table3[عدد الخدمات],-1),3)</f>
        <v>وزارة التربية والتعليم</v>
      </c>
      <c r="H17" s="30">
        <v>25</v>
      </c>
      <c r="I17" s="32">
        <f>H17/SUM(Table3[عدد الخدمات])</f>
        <v>0.10460251046025104</v>
      </c>
    </row>
    <row r="18" spans="1:9" ht="18.75" x14ac:dyDescent="0.25">
      <c r="A18" s="8">
        <f t="shared" si="0"/>
        <v>17</v>
      </c>
      <c r="B18" s="3" t="s">
        <v>9</v>
      </c>
      <c r="C18" s="8">
        <f>COUNTIF(Table1[جهة الخدمة],Table3[[#This Row],[اسم الجهة]])</f>
        <v>3</v>
      </c>
      <c r="D18" s="24">
        <f>Table3[[#This Row],[عدد الخدمات]]/Table3[[#Totals],[عدد الخدمات]]</f>
        <v>1.2552301255230125E-2</v>
      </c>
      <c r="E18" s="18"/>
      <c r="F18" s="29">
        <f>ROW()-16</f>
        <v>2</v>
      </c>
      <c r="G18" s="2" t="str">
        <v>وزارة الهجرة والمهجرين</v>
      </c>
      <c r="H18" s="2">
        <v>24</v>
      </c>
      <c r="I18" s="16">
        <f>H18/SUM(Table3[عدد الخدمات])</f>
        <v>0.100418410041841</v>
      </c>
    </row>
    <row r="19" spans="1:9" ht="18.75" x14ac:dyDescent="0.25">
      <c r="A19" s="8">
        <f t="shared" si="0"/>
        <v>18</v>
      </c>
      <c r="B19" s="3" t="s">
        <v>104</v>
      </c>
      <c r="C19" s="8">
        <f>COUNTIF(Table1[جهة الخدمة],Table3[[#This Row],[اسم الجهة]])</f>
        <v>5</v>
      </c>
      <c r="D19" s="24">
        <f>Table3[[#This Row],[عدد الخدمات]]/Table3[[#Totals],[عدد الخدمات]]</f>
        <v>2.0920502092050208E-2</v>
      </c>
      <c r="E19" s="18"/>
      <c r="F19" s="29">
        <f>ROW()-16</f>
        <v>3</v>
      </c>
      <c r="G19" s="30" t="str">
        <v>الهيئة الوطنية للرقابة النووية والاشعاعية والكيميائية والبايولوجية</v>
      </c>
      <c r="H19" s="30">
        <v>16</v>
      </c>
      <c r="I19" s="32">
        <f>H19/SUM(Table3[عدد الخدمات])</f>
        <v>6.6945606694560664E-2</v>
      </c>
    </row>
    <row r="20" spans="1:9" ht="18.75" x14ac:dyDescent="0.25">
      <c r="A20" s="8">
        <f t="shared" si="0"/>
        <v>19</v>
      </c>
      <c r="B20" s="3" t="s">
        <v>72</v>
      </c>
      <c r="C20" s="8">
        <f>COUNTIF(Table1[جهة الخدمة],Table3[[#This Row],[اسم الجهة]])</f>
        <v>1</v>
      </c>
      <c r="D20" s="24">
        <f>Table3[[#This Row],[عدد الخدمات]]/Table3[[#Totals],[عدد الخدمات]]</f>
        <v>4.1841004184100415E-3</v>
      </c>
      <c r="E20" s="18"/>
      <c r="F20" s="33"/>
      <c r="G20" s="34" t="s">
        <v>16</v>
      </c>
      <c r="H20" s="34">
        <f>SUM(H17:H19)</f>
        <v>65</v>
      </c>
      <c r="I20" s="35"/>
    </row>
    <row r="21" spans="1:9" ht="18.75" x14ac:dyDescent="0.25">
      <c r="A21" s="8">
        <f t="shared" si="0"/>
        <v>20</v>
      </c>
      <c r="B21" s="3" t="s">
        <v>81</v>
      </c>
      <c r="C21" s="8">
        <f>COUNTIF(Table1[جهة الخدمة],Table3[[#This Row],[اسم الجهة]])</f>
        <v>2</v>
      </c>
      <c r="D21" s="19">
        <f>Table3[[#This Row],[عدد الخدمات]]/Table3[[#Totals],[عدد الخدمات]]</f>
        <v>8.368200836820083E-3</v>
      </c>
      <c r="E21" s="18"/>
    </row>
    <row r="22" spans="1:9" ht="18.75" x14ac:dyDescent="0.25">
      <c r="A22" s="8">
        <f t="shared" si="0"/>
        <v>21</v>
      </c>
      <c r="B22" s="3" t="s">
        <v>66</v>
      </c>
      <c r="C22" s="8">
        <f>COUNTIF(Table1[جهة الخدمة],Table3[[#This Row],[اسم الجهة]])</f>
        <v>2</v>
      </c>
      <c r="D22" s="19">
        <f>Table3[[#This Row],[عدد الخدمات]]/Table3[[#Totals],[عدد الخدمات]]</f>
        <v>8.368200836820083E-3</v>
      </c>
      <c r="E22" s="18"/>
      <c r="F22" s="27" t="s">
        <v>0</v>
      </c>
      <c r="G22" s="28" t="s">
        <v>3</v>
      </c>
      <c r="H22" s="28" t="s">
        <v>5</v>
      </c>
      <c r="I22" s="31" t="s">
        <v>6</v>
      </c>
    </row>
    <row r="23" spans="1:9" ht="18.75" x14ac:dyDescent="0.25">
      <c r="A23" s="8">
        <f t="shared" si="0"/>
        <v>22</v>
      </c>
      <c r="B23" s="3" t="s">
        <v>70</v>
      </c>
      <c r="C23" s="8">
        <f>COUNTIF(Table1[جهة الخدمة],Table3[[#This Row],[اسم الجهة]])</f>
        <v>7</v>
      </c>
      <c r="D23" s="19">
        <f>Table3[[#This Row],[عدد الخدمات]]/Table3[[#Totals],[عدد الخدمات]]</f>
        <v>2.9288702928870293E-2</v>
      </c>
      <c r="E23" s="18"/>
      <c r="F23" s="29">
        <f>ROW()-21</f>
        <v>2</v>
      </c>
      <c r="G23" s="30" t="str" cm="1">
        <f t="array" ref="G23:H25">_xlfn.TAKE(_xlfn.SORTBY(Table3[[اسم الجهة]:[عدد الخدمات]],Table3[عدد الخدمات],1),3)</f>
        <v>محافظة الانبار</v>
      </c>
      <c r="H23" s="30">
        <v>1</v>
      </c>
      <c r="I23" s="32">
        <f>H23/SUM(Table3[عدد الخدمات])</f>
        <v>4.1841004184100415E-3</v>
      </c>
    </row>
    <row r="24" spans="1:9" ht="18.75" x14ac:dyDescent="0.25">
      <c r="A24" s="8">
        <f t="shared" si="0"/>
        <v>23</v>
      </c>
      <c r="B24" s="3" t="s">
        <v>41</v>
      </c>
      <c r="C24" s="8">
        <f>COUNTIF(Table1[جهة الخدمة],Table3[[#This Row],[اسم الجهة]])</f>
        <v>6</v>
      </c>
      <c r="D24" s="19">
        <f>Table3[[#This Row],[عدد الخدمات]]/Table3[[#Totals],[عدد الخدمات]]</f>
        <v>2.5104602510460251E-2</v>
      </c>
      <c r="E24" s="18"/>
      <c r="F24" s="29">
        <f>ROW()-21</f>
        <v>3</v>
      </c>
      <c r="G24" s="2" t="str">
        <v>محافظة البصرة</v>
      </c>
      <c r="H24" s="2">
        <v>1</v>
      </c>
      <c r="I24" s="16">
        <f>H24/SUM(Table3[عدد الخدمات])</f>
        <v>4.1841004184100415E-3</v>
      </c>
    </row>
    <row r="25" spans="1:9" ht="18.75" x14ac:dyDescent="0.25">
      <c r="A25" s="8">
        <f t="shared" si="0"/>
        <v>24</v>
      </c>
      <c r="B25" s="3" t="s">
        <v>43</v>
      </c>
      <c r="C25" s="8">
        <f>COUNTIF(Table1[جهة الخدمة],Table3[[#This Row],[اسم الجهة]])</f>
        <v>9</v>
      </c>
      <c r="D25" s="19">
        <f>Table3[[#This Row],[عدد الخدمات]]/Table3[[#Totals],[عدد الخدمات]]</f>
        <v>3.7656903765690378E-2</v>
      </c>
      <c r="E25" s="18"/>
      <c r="F25" s="29">
        <f>ROW()-21</f>
        <v>4</v>
      </c>
      <c r="G25" s="30" t="str">
        <v>محافظة صلاح الدين</v>
      </c>
      <c r="H25" s="30">
        <v>1</v>
      </c>
      <c r="I25" s="32">
        <f>H25/SUM(Table3[عدد الخدمات])</f>
        <v>4.1841004184100415E-3</v>
      </c>
    </row>
    <row r="26" spans="1:9" ht="18.75" x14ac:dyDescent="0.25">
      <c r="A26" s="8">
        <f t="shared" si="0"/>
        <v>25</v>
      </c>
      <c r="B26" s="3" t="s">
        <v>35</v>
      </c>
      <c r="C26" s="8">
        <f>COUNTIF(Table1[جهة الخدمة],Table3[[#This Row],[اسم الجهة]])</f>
        <v>25</v>
      </c>
      <c r="D26" s="19">
        <f>Table3[[#This Row],[عدد الخدمات]]/Table3[[#Totals],[عدد الخدمات]]</f>
        <v>0.10460251046025104</v>
      </c>
      <c r="E26" s="18"/>
      <c r="F26" s="33"/>
      <c r="G26" s="34" t="s">
        <v>16</v>
      </c>
      <c r="H26" s="34">
        <f>SUM(H23:H25)</f>
        <v>3</v>
      </c>
      <c r="I26" s="35"/>
    </row>
    <row r="27" spans="1:9" ht="18.75" x14ac:dyDescent="0.25">
      <c r="A27" s="8">
        <f t="shared" si="0"/>
        <v>26</v>
      </c>
      <c r="B27" s="3" t="s">
        <v>60</v>
      </c>
      <c r="C27" s="8">
        <f>COUNTIF(Table1[جهة الخدمة],Table3[[#This Row],[اسم الجهة]])</f>
        <v>1</v>
      </c>
      <c r="D27" s="19">
        <f>Table3[[#This Row],[عدد الخدمات]]/Table3[[#Totals],[عدد الخدمات]]</f>
        <v>4.1841004184100415E-3</v>
      </c>
      <c r="E27" s="18"/>
    </row>
    <row r="28" spans="1:9" ht="18.75" x14ac:dyDescent="0.25">
      <c r="A28" s="8">
        <f t="shared" si="0"/>
        <v>27</v>
      </c>
      <c r="B28" s="3" t="s">
        <v>58</v>
      </c>
      <c r="C28" s="8">
        <f>COUNTIF(Table1[جهة الخدمة],Table3[[#This Row],[اسم الجهة]])</f>
        <v>9</v>
      </c>
      <c r="D28" s="19">
        <f>Table3[[#This Row],[عدد الخدمات]]/Table3[[#Totals],[عدد الخدمات]]</f>
        <v>3.7656903765690378E-2</v>
      </c>
      <c r="E28" s="18"/>
    </row>
    <row r="29" spans="1:9" ht="18.75" x14ac:dyDescent="0.25">
      <c r="A29" s="8">
        <f t="shared" si="0"/>
        <v>28</v>
      </c>
      <c r="B29" s="3" t="s">
        <v>49</v>
      </c>
      <c r="C29" s="8">
        <f>COUNTIF(Table1[جهة الخدمة],Table3[[#This Row],[اسم الجهة]])</f>
        <v>5</v>
      </c>
      <c r="D29" s="19">
        <f>Table3[[#This Row],[عدد الخدمات]]/Table3[[#Totals],[عدد الخدمات]]</f>
        <v>2.0920502092050208E-2</v>
      </c>
    </row>
    <row r="30" spans="1:9" ht="18.75" x14ac:dyDescent="0.25">
      <c r="A30" s="8">
        <f t="shared" si="0"/>
        <v>29</v>
      </c>
      <c r="B30" s="3" t="s">
        <v>107</v>
      </c>
      <c r="C30" s="8">
        <f>COUNTIF(Table1[جهة الخدمة],Table3[[#This Row],[اسم الجهة]])</f>
        <v>7</v>
      </c>
      <c r="D30" s="19">
        <f>Table3[[#This Row],[عدد الخدمات]]/Table3[[#Totals],[عدد الخدمات]]</f>
        <v>2.9288702928870293E-2</v>
      </c>
    </row>
    <row r="31" spans="1:9" ht="18.75" x14ac:dyDescent="0.25">
      <c r="A31" s="8">
        <f t="shared" si="0"/>
        <v>30</v>
      </c>
      <c r="B31" s="3" t="s">
        <v>62</v>
      </c>
      <c r="C31" s="8">
        <f>COUNTIF(Table1[جهة الخدمة],Table3[[#This Row],[اسم الجهة]])</f>
        <v>4</v>
      </c>
      <c r="D31" s="19">
        <f>Table3[[#This Row],[عدد الخدمات]]/Table3[[#Totals],[عدد الخدمات]]</f>
        <v>1.6736401673640166E-2</v>
      </c>
    </row>
    <row r="32" spans="1:9" ht="18.75" x14ac:dyDescent="0.25">
      <c r="A32" s="8">
        <f t="shared" si="0"/>
        <v>31</v>
      </c>
      <c r="B32" s="3" t="s">
        <v>52</v>
      </c>
      <c r="C32" s="8">
        <f>COUNTIF(Table1[جهة الخدمة],Table3[[#This Row],[اسم الجهة]])</f>
        <v>5</v>
      </c>
      <c r="D32" s="19">
        <f>Table3[[#This Row],[عدد الخدمات]]/Table3[[#Totals],[عدد الخدمات]]</f>
        <v>2.0920502092050208E-2</v>
      </c>
    </row>
    <row r="33" spans="1:4" ht="18.75" x14ac:dyDescent="0.25">
      <c r="A33" s="8">
        <f t="shared" si="0"/>
        <v>32</v>
      </c>
      <c r="B33" s="3" t="s">
        <v>150</v>
      </c>
      <c r="C33" s="8">
        <f>COUNTIF(Table1[جهة الخدمة],Table3[[#This Row],[اسم الجهة]])</f>
        <v>3</v>
      </c>
      <c r="D33" s="19">
        <f>Table3[[#This Row],[عدد الخدمات]]/Table3[[#Totals],[عدد الخدمات]]</f>
        <v>1.2552301255230125E-2</v>
      </c>
    </row>
    <row r="34" spans="1:4" ht="18.75" x14ac:dyDescent="0.25">
      <c r="A34" s="8">
        <f t="shared" si="0"/>
        <v>33</v>
      </c>
      <c r="B34" s="3" t="s">
        <v>46</v>
      </c>
      <c r="C34" s="8">
        <f>COUNTIF(Table1[جهة الخدمة],Table3[[#This Row],[اسم الجهة]])</f>
        <v>10</v>
      </c>
      <c r="D34" s="19">
        <f>Table3[[#This Row],[عدد الخدمات]]/Table3[[#Totals],[عدد الخدمات]]</f>
        <v>4.1841004184100417E-2</v>
      </c>
    </row>
    <row r="35" spans="1:4" ht="18.75" x14ac:dyDescent="0.25">
      <c r="A35" s="8">
        <f t="shared" si="0"/>
        <v>34</v>
      </c>
      <c r="B35" s="8" t="s">
        <v>367</v>
      </c>
      <c r="C35" s="8">
        <f>COUNTIF(Table1[جهة الخدمة],Table3[[#This Row],[اسم الجهة]])</f>
        <v>2</v>
      </c>
      <c r="D35" s="19">
        <f>Table3[[#This Row],[عدد الخدمات]]/Table3[[#Totals],[عدد الخدمات]]</f>
        <v>8.368200836820083E-3</v>
      </c>
    </row>
    <row r="36" spans="1:4" ht="18.75" x14ac:dyDescent="0.25">
      <c r="A36" s="8">
        <f t="shared" si="0"/>
        <v>35</v>
      </c>
      <c r="B36" s="3" t="s">
        <v>56</v>
      </c>
      <c r="C36" s="8">
        <f>COUNTIF(Table1[جهة الخدمة],Table3[[#This Row],[اسم الجهة]])</f>
        <v>1</v>
      </c>
      <c r="D36" s="19">
        <f>Table3[[#This Row],[عدد الخدمات]]/Table3[[#Totals],[عدد الخدمات]]</f>
        <v>4.1841004184100415E-3</v>
      </c>
    </row>
    <row r="37" spans="1:4" ht="18.75" x14ac:dyDescent="0.25">
      <c r="A37" s="8">
        <f t="shared" si="0"/>
        <v>36</v>
      </c>
      <c r="B37" s="3" t="s">
        <v>64</v>
      </c>
      <c r="C37" s="8">
        <f>COUNTIF(Table1[جهة الخدمة],Table3[[#This Row],[اسم الجهة]])</f>
        <v>9</v>
      </c>
      <c r="D37" s="19">
        <f>Table3[[#This Row],[عدد الخدمات]]/Table3[[#Totals],[عدد الخدمات]]</f>
        <v>3.7656903765690378E-2</v>
      </c>
    </row>
    <row r="38" spans="1:4" ht="18.75" x14ac:dyDescent="0.25">
      <c r="A38" s="8">
        <f t="shared" si="0"/>
        <v>37</v>
      </c>
      <c r="B38" s="8" t="s">
        <v>329</v>
      </c>
      <c r="C38" s="8">
        <f>COUNTIF(Table1[جهة الخدمة],Table3[[#This Row],[اسم الجهة]])</f>
        <v>9</v>
      </c>
      <c r="D38" s="19">
        <f>Table3[[#This Row],[عدد الخدمات]]/Table3[[#Totals],[عدد الخدمات]]</f>
        <v>3.7656903765690378E-2</v>
      </c>
    </row>
    <row r="39" spans="1:4" ht="18.75" x14ac:dyDescent="0.25">
      <c r="A39" s="8">
        <f t="shared" si="0"/>
        <v>38</v>
      </c>
      <c r="B39" s="3" t="s">
        <v>68</v>
      </c>
      <c r="C39" s="8">
        <f>COUNTIF(Table1[جهة الخدمة],Table3[[#This Row],[اسم الجهة]])</f>
        <v>12</v>
      </c>
      <c r="D39" s="19">
        <f>Table3[[#This Row],[عدد الخدمات]]/Table3[[#Totals],[عدد الخدمات]]</f>
        <v>5.0209205020920501E-2</v>
      </c>
    </row>
    <row r="40" spans="1:4" ht="18.75" x14ac:dyDescent="0.25">
      <c r="A40" s="8">
        <f t="shared" si="0"/>
        <v>39</v>
      </c>
      <c r="B40" s="8" t="s">
        <v>334</v>
      </c>
      <c r="C40" s="8">
        <f>COUNTIF(Table1[جهة الخدمة],Table3[[#This Row],[اسم الجهة]])</f>
        <v>1</v>
      </c>
      <c r="D40" s="19">
        <f>Table3[[#This Row],[عدد الخدمات]]/Table3[[#Totals],[عدد الخدمات]]</f>
        <v>4.1841004184100415E-3</v>
      </c>
    </row>
    <row r="41" spans="1:4" ht="18.75" x14ac:dyDescent="0.25">
      <c r="A41" s="8">
        <f t="shared" si="0"/>
        <v>40</v>
      </c>
      <c r="B41" s="3" t="s">
        <v>24</v>
      </c>
      <c r="C41" s="8">
        <f>COUNTIF(Table1[جهة الخدمة],Table3[[#This Row],[اسم الجهة]])</f>
        <v>24</v>
      </c>
      <c r="D41" s="19">
        <f>Table3[[#This Row],[عدد الخدمات]]/Table3[[#Totals],[عدد الخدمات]]</f>
        <v>0.100418410041841</v>
      </c>
    </row>
    <row r="42" spans="1:4" ht="18.75" x14ac:dyDescent="0.25">
      <c r="A42" s="8">
        <f>ROW()-1</f>
        <v>41</v>
      </c>
      <c r="B42" s="8" t="s">
        <v>528</v>
      </c>
      <c r="C42" s="8">
        <f>COUNTIF(Table1[جهة الخدمة],Table3[[#This Row],[اسم الجهة]])</f>
        <v>1</v>
      </c>
      <c r="D42" s="19">
        <f>Table3[[#This Row],[عدد الخدمات]]/Table3[[#Totals],[عدد الخدمات]]</f>
        <v>4.1841004184100415E-3</v>
      </c>
    </row>
    <row r="43" spans="1:4" ht="18.75" x14ac:dyDescent="0.25">
      <c r="A43" s="7"/>
      <c r="B43" s="8" t="s">
        <v>16</v>
      </c>
      <c r="C43" s="8">
        <f>SUBTOTAL(109,Table3[عدد الخدمات])</f>
        <v>239</v>
      </c>
      <c r="D43" s="20">
        <f>SUBTOTAL(109,Table3[النسبة المئوية])</f>
        <v>1.0000000000000002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معلومات الخدمات</vt:lpstr>
      <vt:lpstr>الدفع الالكتروني</vt:lpstr>
      <vt:lpstr>احصائيات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احسان علي</dc:creator>
  <cp:lastModifiedBy>Yousef Ihsan</cp:lastModifiedBy>
  <dcterms:created xsi:type="dcterms:W3CDTF">2025-08-02T08:08:44Z</dcterms:created>
  <dcterms:modified xsi:type="dcterms:W3CDTF">2026-10-27T12:18:13Z</dcterms:modified>
</cp:coreProperties>
</file>