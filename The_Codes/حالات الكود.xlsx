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a843af4fc71c607/Desktop/JavaScript codes/Codes/The_New_Codes/"/>
    </mc:Choice>
  </mc:AlternateContent>
  <xr:revisionPtr revIDLastSave="1070" documentId="13_ncr:1_{1559862C-1BDB-4816-AF61-9B0D75B17520}" xr6:coauthVersionLast="47" xr6:coauthVersionMax="47" xr10:uidLastSave="{01C3E454-49E9-48C0-9E37-06311EB7509F}"/>
  <bookViews>
    <workbookView xWindow="-108" yWindow="-108" windowWidth="23256" windowHeight="12456" activeTab="1" xr2:uid="{00000000-000D-0000-FFFF-FFFF00000000}"/>
  </bookViews>
  <sheets>
    <sheet name="1-Form_Intail" sheetId="3" r:id="rId1"/>
    <sheet name="2- Form_Hide" sheetId="2" r:id="rId2"/>
    <sheet name="3- Form_Vaildation" sheetId="4" r:id="rId3"/>
    <sheet name="4- Docs_Hide" sheetId="5" r:id="rId4"/>
    <sheet name="5- Docs_Vaildation" sheetId="6" r:id="rId5"/>
    <sheet name="6- Unused_Cells" sheetId="7" r:id="rId6"/>
    <sheet name="احصائيات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8" l="1"/>
  <c r="B6" i="8"/>
  <c r="B5" i="8"/>
  <c r="B4" i="8"/>
  <c r="B3" i="8"/>
  <c r="B2" i="8"/>
  <c r="B8" i="8" l="1"/>
  <c r="C7" i="8" l="1"/>
  <c r="C4" i="8"/>
  <c r="C2" i="8"/>
  <c r="C6" i="8"/>
  <c r="C3" i="8"/>
  <c r="C5" i="8"/>
  <c r="C8" i="8" l="1"/>
</calcChain>
</file>

<file path=xl/sharedStrings.xml><?xml version="1.0" encoding="utf-8"?>
<sst xmlns="http://schemas.openxmlformats.org/spreadsheetml/2006/main" count="194" uniqueCount="116">
  <si>
    <t>نوع الحالة</t>
  </si>
  <si>
    <t>الملاحظات</t>
  </si>
  <si>
    <t>اسم الحالة</t>
  </si>
  <si>
    <t>First_Case</t>
  </si>
  <si>
    <t>Second_Case</t>
  </si>
  <si>
    <t>لاخفاء واظهار عدة حقول</t>
  </si>
  <si>
    <t>لاخفاء واظهار حقل واحد</t>
  </si>
  <si>
    <t>Third_Case</t>
  </si>
  <si>
    <t>checklist اخفاء واظهار حقل على اساس</t>
  </si>
  <si>
    <t>Fourth_Case</t>
  </si>
  <si>
    <t>checklist اخفاء واظهار عدة حقول على اساس</t>
  </si>
  <si>
    <t>Fifth_Case</t>
  </si>
  <si>
    <t>اخفاء واظهار مجموعة بالاستمارة</t>
  </si>
  <si>
    <t>Sixth_Case</t>
  </si>
  <si>
    <t>اخفاء واظهار مجاميع بالاستمارة</t>
  </si>
  <si>
    <t>Seventh_Case</t>
  </si>
  <si>
    <t>checklist اخفاء واظهار مجموعة على اساس</t>
  </si>
  <si>
    <t>Eighth_Case</t>
  </si>
  <si>
    <t>checklist اخفاء واظهار عدة مجاميع على اساس</t>
  </si>
  <si>
    <t>توجد تكملة للكود بالملف المسمى Intail_Code في الحالة رقم First_Case</t>
  </si>
  <si>
    <t>توجد تكملة للكود بالملف المسمى Intail_Code في الحالة رقم Second_Case</t>
  </si>
  <si>
    <t>Ninth_Case</t>
  </si>
  <si>
    <t>لاخفاء حقلين وكل حقل يظهر على اساس شرط معين</t>
  </si>
  <si>
    <t>Tenth_Case</t>
  </si>
  <si>
    <t>checklist لاخفاء حقلين وكل حقل يظهر على اساس شرط معين وعلى اساس</t>
  </si>
  <si>
    <t>Eleventh_Case</t>
  </si>
  <si>
    <t>لاخفاء عدة حقول وكل مجموعة حقول تظهر على اساس شرط معين</t>
  </si>
  <si>
    <t>Twelveth_Case</t>
  </si>
  <si>
    <t>checklist لاخفاء عدة حقول وكل مجموعة حقول تظهر على اساس شرط معين وعلى اساس</t>
  </si>
  <si>
    <t>البدايه من</t>
  </si>
  <si>
    <t>النهايه في</t>
  </si>
  <si>
    <t>Thirteenth_Case</t>
  </si>
  <si>
    <t>لاخفاء مجموعتين وكل مجموعة تظهر على اساس شرط معين</t>
  </si>
  <si>
    <t>Fourteenth_Case</t>
  </si>
  <si>
    <t>لاخفاء عدة مجاميع وكل مجموعة مجاميع تظهر على اساس شرط معين</t>
  </si>
  <si>
    <t>Fifteenth_Case</t>
  </si>
  <si>
    <t>checklist لاخفاء مجموعتين وكل مجموعة تظهر على اساس شرط معين وعلى اساس</t>
  </si>
  <si>
    <t>Sixteenth_Case</t>
  </si>
  <si>
    <t>إخفاء حقل او مجموعة او اكثر على أساس شرط OR</t>
  </si>
  <si>
    <t>Seventeenth_Case</t>
  </si>
  <si>
    <t>إخفاء حقل او مجموعة او اكثر على أساس شرط And</t>
  </si>
  <si>
    <t>إخفاء حقل او مجموعة او اكثر على أساس شرط OR باستخدام ايعاز include</t>
  </si>
  <si>
    <t>Eighteenth_Case</t>
  </si>
  <si>
    <t>فلترة القائمة المنسدلة</t>
  </si>
  <si>
    <t>Twentyth_Case</t>
  </si>
  <si>
    <t>فلترة اقضية العراق</t>
  </si>
  <si>
    <t>Twenty_First_Case</t>
  </si>
  <si>
    <t>Twenty_Second_Case</t>
  </si>
  <si>
    <t>تسجيل الدخول على أساس حقل واحد مثلا رقم الهاتف</t>
  </si>
  <si>
    <t>Twenty_Third_Case</t>
  </si>
  <si>
    <t>تسجيل الدخول على أساس حقلين مثلا اليوزر نيم والباسوورد</t>
  </si>
  <si>
    <t>في حال إخفاء مجموعة واحدة</t>
  </si>
  <si>
    <t>في حال إخفاء عدة مجاميع</t>
  </si>
  <si>
    <t>في حال إخفاء حقل واحد</t>
  </si>
  <si>
    <t xml:space="preserve"> في حال إخفاء عدة حقول</t>
  </si>
  <si>
    <t>في حال إخفاء قيمة او اكثر من قائمة منسدلة</t>
  </si>
  <si>
    <t>في حال جلب المعلومات من بوابة اور</t>
  </si>
  <si>
    <t>Nintheenth_Case</t>
  </si>
  <si>
    <t>لتعديل خصائص حقل Label واحد</t>
  </si>
  <si>
    <t>Egithth_Case</t>
  </si>
  <si>
    <t>لتعديل خصائص عدة حقول من نوع Label</t>
  </si>
  <si>
    <t>لحصر الحقول باللغة العربية فقط</t>
  </si>
  <si>
    <t>لحصر الحقول باللغة الإنكليزية فقط</t>
  </si>
  <si>
    <t>للتاكد من حقل واحد</t>
  </si>
  <si>
    <t>للتاكد من عدة حقول</t>
  </si>
  <si>
    <t>للتاكد من حقل واحد على أساس عدة شروط</t>
  </si>
  <si>
    <t>للتاكد من عدة حقول على أساس عدة شروط</t>
  </si>
  <si>
    <t>للتاكد من بداية رقم الهاتف ب07</t>
  </si>
  <si>
    <t>اسم الملف</t>
  </si>
  <si>
    <t>عدد الحالات</t>
  </si>
  <si>
    <t>%</t>
  </si>
  <si>
    <t>Form_Intail</t>
  </si>
  <si>
    <t>Form_Hide</t>
  </si>
  <si>
    <t>Form_Vaildation</t>
  </si>
  <si>
    <t>Docs_Hide</t>
  </si>
  <si>
    <t>Docs_Vaildation</t>
  </si>
  <si>
    <t>Unused_Cells</t>
  </si>
  <si>
    <t>لاخفاء مرفق واحد</t>
  </si>
  <si>
    <t>لاخفاء عدة مرفقات</t>
  </si>
  <si>
    <t>لاخفاء مرفق واحد على أساس عدة شروط</t>
  </si>
  <si>
    <t>لاخفاء عدة مرفقات على أساس عدة شروط</t>
  </si>
  <si>
    <t>المجموع</t>
  </si>
  <si>
    <t>لاخفاء مجموعة واحدة</t>
  </si>
  <si>
    <t>لاخفاء عدة مجاميع</t>
  </si>
  <si>
    <t>لاخفاء مجموعة واحدة على أساس عدة شروط</t>
  </si>
  <si>
    <t>Eigth_Case</t>
  </si>
  <si>
    <t>لاخفاء عدة مجاميع على أساس عدة شروط</t>
  </si>
  <si>
    <t>لجعل مرفق واحد مطلوب</t>
  </si>
  <si>
    <t>لجعل عدة مرفقات مطلوبة</t>
  </si>
  <si>
    <t>لاخفاء مرفق واحد على أساس عدة حقول</t>
  </si>
  <si>
    <t>لاخفاء مجموعة واحدة على أساس عدة حقول</t>
  </si>
  <si>
    <t>لاخفاء عدة مرفقات على أساس عدة حقول</t>
  </si>
  <si>
    <t>لاخفاء عدة مجاميع على أساس عدة حقول</t>
  </si>
  <si>
    <t>لجعل عدة حقول مطلوبة وكل حقل مع شرط مختلف</t>
  </si>
  <si>
    <t>لجعل مرفقات من عدة مجاميع مطلوبة</t>
  </si>
  <si>
    <t>لجعل مرفق واحد مطلوب على أساس عدة شروط</t>
  </si>
  <si>
    <t>لجعل عدة مرفقات مطلوبة على أساس عدة شروط</t>
  </si>
  <si>
    <t>لجعل مرفق واحد مطلوب على أساس عدة حقول</t>
  </si>
  <si>
    <t>لجعل عدة مرفقات مطلوبة على أساس عدة حقول</t>
  </si>
  <si>
    <t>لاخفاء حقل واحد</t>
  </si>
  <si>
    <t>لاخفاء عدة حقول</t>
  </si>
  <si>
    <t>لاخفاء مجموعة</t>
  </si>
  <si>
    <t>لاخفاء الحقول التي لم تعد مطلوبة في الخدمة ولا يمكن حذفها لكون الخدمة نشطة</t>
  </si>
  <si>
    <t>لحصر الحقول باللغة العربية والرموز فقط</t>
  </si>
  <si>
    <t>لحصر الحقول باللغة العربية والرموز والأرقام فقط</t>
  </si>
  <si>
    <t>لحصر الحقول باللغة الإنكليزية والرموز فقط</t>
  </si>
  <si>
    <t>لحصر الحقول بالأرقام والرموز فقط</t>
  </si>
  <si>
    <t>Checklist للتاكد من حقل على اساس</t>
  </si>
  <si>
    <t>للتاكد من عدة حقول على أساس CheckList</t>
  </si>
  <si>
    <t>حصر الحقول باللغة العربية والارقام فقط</t>
  </si>
  <si>
    <t>لحصر حقل تاريخ واحد بتواريخ محددة</t>
  </si>
  <si>
    <t>لحصر عدة حقول من نوع تاريخ بتواريخ محددة</t>
  </si>
  <si>
    <t>حصر حقل التاريخ الخاص بتاريخ الميلاد</t>
  </si>
  <si>
    <t>حصر حقل التاريخ بتاريخ محدد وتحديثه تلقائيا</t>
  </si>
  <si>
    <t>للتاكد من عدة حقول في اكثر من مجموعة على اساس شرط واحد</t>
  </si>
  <si>
    <t>إخفاء وإظهار عدة حقول واحد الحقول label وتغيير خصائصه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</si>
</sst>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0" fontId="1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46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7804F7-4D49-464A-8A04-6E3E1DE6333B}" name="Table13" displayName="Table13" ref="A1:D20" totalsRowShown="0" headerRowDxfId="45" dataDxfId="44">
  <tableColumns count="4">
    <tableColumn id="1" xr3:uid="{E3984B10-3F30-47B1-ADB3-BFF2449C9DC0}" name="اسم الحالة" dataDxfId="43" totalsRowDxfId="42"/>
    <tableColumn id="2" xr3:uid="{018126E2-3097-40F5-AF0C-53F9343D9B94}" name="نوع الحالة" dataDxfId="41" totalsRowDxfId="40"/>
    <tableColumn id="3" xr3:uid="{07667CF8-87E3-4130-9BA6-633C9C8EFF78}" name="البدايه من" dataDxfId="39" totalsRowDxfId="38"/>
    <tableColumn id="4" xr3:uid="{0D53CCE0-BA21-4593-849F-F5CDD693C4A6}" name="النهايه في" dataDxfId="37" totalsRowDxfId="36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C54C73-4412-454C-9B06-6F8B2DE203AF}" name="Table1" displayName="Table1" ref="A1:E24" totalsRowShown="0" headerRowDxfId="35" dataDxfId="34">
  <tableColumns count="5">
    <tableColumn id="1" xr3:uid="{A5A2981F-1590-4240-8C39-3DA4A7FC2DA5}" name="اسم الحالة" dataDxfId="33" totalsRowDxfId="32"/>
    <tableColumn id="2" xr3:uid="{6F81B565-3407-4474-B277-A6B7D00F6414}" name="نوع الحالة" dataDxfId="31" totalsRowDxfId="30"/>
    <tableColumn id="3" xr3:uid="{2BFAC376-6CDF-4FE5-B5B2-691B11FED706}" name="البدايه من" dataDxfId="29" totalsRowDxfId="28"/>
    <tableColumn id="4" xr3:uid="{CFBA7893-BED2-4579-931D-9F394F1C35B4}" name="النهايه في" dataDxfId="27" totalsRowDxfId="26"/>
    <tableColumn id="5" xr3:uid="{BCDE94CC-243F-49F0-8B54-F55ED5CEB809}" name="الملاحظات" dataDxfId="25" totalsRowDxfId="24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803F59-A7F1-4DC7-A28E-1A23738182ED}" name="Table134" displayName="Table134" ref="A1:D9" totalsRowShown="0" headerRowDxfId="23" dataDxfId="22">
  <tableColumns count="4">
    <tableColumn id="1" xr3:uid="{7C688200-4CEA-43E7-8D3C-2D0BDEE694A8}" name="اسم الحالة" dataDxfId="21"/>
    <tableColumn id="2" xr3:uid="{D9FCC315-6067-498C-9068-51F7789D0F5F}" name="نوع الحالة" dataDxfId="20"/>
    <tableColumn id="3" xr3:uid="{67C796BE-1D83-40FE-BA2D-626A894DE945}" name="البدايه من" dataDxfId="19"/>
    <tableColumn id="4" xr3:uid="{2393F068-05C7-4233-9EFC-18C9436BF6AF}" name="النهايه في" dataDxfId="18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938FC4-D055-4F66-B429-827EA24479F6}" name="Table1345" displayName="Table1345" ref="A1:D13" totalsRowShown="0" headerRowDxfId="17" dataDxfId="16">
  <tableColumns count="4">
    <tableColumn id="1" xr3:uid="{01BC892A-5CF1-4A04-8A9C-B6CFC672B516}" name="اسم الحالة" dataDxfId="15"/>
    <tableColumn id="2" xr3:uid="{AD3F904D-38C7-4A96-9EB4-984296BAF1CE}" name="نوع الحالة" dataDxfId="14"/>
    <tableColumn id="3" xr3:uid="{F67E4C40-A4F1-436C-BC65-04F43FE9B7A0}" name="البدايه من" dataDxfId="13"/>
    <tableColumn id="4" xr3:uid="{1C07FD9E-F9D9-4459-A186-D7E8E2F1494F}" name="النهايه في" dataDxfId="12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C842C3E-BA2C-4686-91C5-A2EBF56B8B62}" name="Table13457" displayName="Table13457" ref="A1:D9" totalsRowShown="0" headerRowDxfId="11" dataDxfId="10">
  <tableColumns count="4">
    <tableColumn id="1" xr3:uid="{F3458A43-8A6A-45D3-AE3B-BDAE4F20FFFE}" name="اسم الحالة" dataDxfId="9"/>
    <tableColumn id="2" xr3:uid="{EF2EB183-1018-41A7-BC10-44C4558C175A}" name="نوع الحالة" dataDxfId="8"/>
    <tableColumn id="3" xr3:uid="{AFFCAEB2-811A-419C-A073-0F8A5A8ED02F}" name="البدايه من" dataDxfId="7"/>
    <tableColumn id="4" xr3:uid="{613FCB5A-AE58-4D11-A77F-C55F859DC5C8}" name="النهايه في" dataDxfId="6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FDD422E-BE95-4B24-A48E-4F7167B32955}" name="Table13458" displayName="Table13458" ref="A1:D6" totalsRowShown="0" headerRowDxfId="5" dataDxfId="4">
  <tableColumns count="4">
    <tableColumn id="1" xr3:uid="{F6399476-35BA-4D93-84A6-64A3FA8E715B}" name="اسم الحالة" dataDxfId="3"/>
    <tableColumn id="2" xr3:uid="{448C6F1F-7951-44C4-B284-B12DB572D2AD}" name="نوع الحالة" dataDxfId="2"/>
    <tableColumn id="3" xr3:uid="{76474FA2-C16C-442E-90DF-0207CDA1735B}" name="البدايه من" dataDxfId="1"/>
    <tableColumn id="4" xr3:uid="{3EACC108-6DF1-4D06-A1F1-B2AD4CD6724B}" name="النهايه في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E51FF-7F5A-4C1F-9322-9FB4B93D215E}">
  <dimension ref="A1:D20"/>
  <sheetViews>
    <sheetView rightToLeft="1" zoomScaleNormal="100" workbookViewId="0">
      <selection activeCell="B20" sqref="B20"/>
    </sheetView>
  </sheetViews>
  <sheetFormatPr defaultRowHeight="14.4" x14ac:dyDescent="0.3"/>
  <cols>
    <col min="1" max="1" width="20.21875" bestFit="1" customWidth="1"/>
    <col min="2" max="2" width="42.77734375" bestFit="1" customWidth="1"/>
    <col min="3" max="3" width="11.44140625" bestFit="1" customWidth="1"/>
    <col min="4" max="4" width="10.33203125" bestFit="1" customWidth="1"/>
  </cols>
  <sheetData>
    <row r="1" spans="1:4" ht="21" x14ac:dyDescent="0.3">
      <c r="A1" s="2" t="s">
        <v>2</v>
      </c>
      <c r="B1" s="2" t="s">
        <v>0</v>
      </c>
      <c r="C1" s="2" t="s">
        <v>29</v>
      </c>
      <c r="D1" s="2" t="s">
        <v>30</v>
      </c>
    </row>
    <row r="2" spans="1:4" ht="18" x14ac:dyDescent="0.3">
      <c r="A2" s="1" t="s">
        <v>3</v>
      </c>
      <c r="B2" s="1" t="s">
        <v>51</v>
      </c>
      <c r="C2" s="1">
        <v>19</v>
      </c>
      <c r="D2" s="1">
        <v>31</v>
      </c>
    </row>
    <row r="3" spans="1:4" ht="18" x14ac:dyDescent="0.3">
      <c r="A3" s="1" t="s">
        <v>4</v>
      </c>
      <c r="B3" s="1" t="s">
        <v>52</v>
      </c>
      <c r="C3" s="1">
        <v>33</v>
      </c>
      <c r="D3" s="1">
        <v>59</v>
      </c>
    </row>
    <row r="4" spans="1:4" ht="18" x14ac:dyDescent="0.3">
      <c r="A4" s="1" t="s">
        <v>7</v>
      </c>
      <c r="B4" s="1" t="s">
        <v>53</v>
      </c>
      <c r="C4" s="1">
        <v>61</v>
      </c>
      <c r="D4" s="1">
        <v>66</v>
      </c>
    </row>
    <row r="5" spans="1:4" ht="18" x14ac:dyDescent="0.3">
      <c r="A5" s="1" t="s">
        <v>9</v>
      </c>
      <c r="B5" s="1" t="s">
        <v>54</v>
      </c>
      <c r="C5" s="1">
        <v>68</v>
      </c>
      <c r="D5" s="1">
        <v>82</v>
      </c>
    </row>
    <row r="6" spans="1:4" ht="18" x14ac:dyDescent="0.3">
      <c r="A6" s="1" t="s">
        <v>11</v>
      </c>
      <c r="B6" s="1" t="s">
        <v>55</v>
      </c>
      <c r="C6" s="1">
        <v>84</v>
      </c>
      <c r="D6" s="1">
        <v>104</v>
      </c>
    </row>
    <row r="7" spans="1:4" ht="18" x14ac:dyDescent="0.3">
      <c r="A7" s="1" t="s">
        <v>13</v>
      </c>
      <c r="B7" s="1" t="s">
        <v>56</v>
      </c>
      <c r="C7" s="1">
        <v>106</v>
      </c>
      <c r="D7" s="1">
        <v>157</v>
      </c>
    </row>
    <row r="8" spans="1:4" ht="18" x14ac:dyDescent="0.3">
      <c r="A8" s="1" t="s">
        <v>15</v>
      </c>
      <c r="B8" s="1" t="s">
        <v>58</v>
      </c>
      <c r="C8" s="1">
        <v>159</v>
      </c>
      <c r="D8" s="1">
        <v>179</v>
      </c>
    </row>
    <row r="9" spans="1:4" ht="18" x14ac:dyDescent="0.3">
      <c r="A9" s="1" t="s">
        <v>59</v>
      </c>
      <c r="B9" s="1" t="s">
        <v>60</v>
      </c>
      <c r="C9" s="1">
        <v>181</v>
      </c>
      <c r="D9" s="1">
        <v>210</v>
      </c>
    </row>
    <row r="10" spans="1:4" ht="18" x14ac:dyDescent="0.3">
      <c r="A10" s="1" t="s">
        <v>21</v>
      </c>
      <c r="B10" s="1" t="s">
        <v>61</v>
      </c>
      <c r="C10" s="1">
        <v>212</v>
      </c>
      <c r="D10" s="1">
        <v>242</v>
      </c>
    </row>
    <row r="11" spans="1:4" ht="18" x14ac:dyDescent="0.3">
      <c r="A11" s="1" t="s">
        <v>23</v>
      </c>
      <c r="B11" s="1" t="s">
        <v>62</v>
      </c>
      <c r="C11" s="1">
        <v>244</v>
      </c>
      <c r="D11" s="1">
        <v>274</v>
      </c>
    </row>
    <row r="12" spans="1:4" ht="18" x14ac:dyDescent="0.3">
      <c r="A12" s="1" t="s">
        <v>25</v>
      </c>
      <c r="B12" s="1" t="s">
        <v>103</v>
      </c>
      <c r="C12" s="1">
        <v>276</v>
      </c>
      <c r="D12" s="1">
        <v>307</v>
      </c>
    </row>
    <row r="13" spans="1:4" ht="18" x14ac:dyDescent="0.3">
      <c r="A13" s="1" t="s">
        <v>27</v>
      </c>
      <c r="B13" s="1" t="s">
        <v>104</v>
      </c>
      <c r="C13" s="1">
        <v>309</v>
      </c>
      <c r="D13" s="1">
        <v>341</v>
      </c>
    </row>
    <row r="14" spans="1:4" ht="18" x14ac:dyDescent="0.3">
      <c r="A14" s="1" t="s">
        <v>31</v>
      </c>
      <c r="B14" s="1" t="s">
        <v>105</v>
      </c>
      <c r="C14" s="1">
        <v>343</v>
      </c>
      <c r="D14" s="1">
        <v>373</v>
      </c>
    </row>
    <row r="15" spans="1:4" ht="18" x14ac:dyDescent="0.3">
      <c r="A15" s="1" t="s">
        <v>33</v>
      </c>
      <c r="B15" s="1" t="s">
        <v>106</v>
      </c>
      <c r="C15" s="1">
        <v>375</v>
      </c>
      <c r="D15" s="1">
        <v>407</v>
      </c>
    </row>
    <row r="16" spans="1:4" ht="18" x14ac:dyDescent="0.3">
      <c r="A16" s="1" t="s">
        <v>35</v>
      </c>
      <c r="B16" s="1" t="s">
        <v>109</v>
      </c>
      <c r="C16" s="1">
        <v>409</v>
      </c>
      <c r="D16" s="1">
        <v>448</v>
      </c>
    </row>
    <row r="17" spans="1:4" ht="18" x14ac:dyDescent="0.3">
      <c r="A17" s="1" t="s">
        <v>37</v>
      </c>
      <c r="B17" s="1" t="s">
        <v>110</v>
      </c>
      <c r="C17" s="1">
        <v>450</v>
      </c>
      <c r="D17" s="1">
        <v>464</v>
      </c>
    </row>
    <row r="18" spans="1:4" ht="18" x14ac:dyDescent="0.3">
      <c r="A18" s="1" t="s">
        <v>39</v>
      </c>
      <c r="B18" s="1" t="s">
        <v>111</v>
      </c>
      <c r="C18" s="1">
        <v>466</v>
      </c>
      <c r="D18" s="1">
        <v>509</v>
      </c>
    </row>
    <row r="19" spans="1:4" ht="18" x14ac:dyDescent="0.3">
      <c r="A19" s="1" t="s">
        <v>42</v>
      </c>
      <c r="B19" s="1" t="s">
        <v>112</v>
      </c>
      <c r="C19" s="1">
        <v>511</v>
      </c>
      <c r="D19" s="1">
        <v>528</v>
      </c>
    </row>
    <row r="20" spans="1:4" ht="18" x14ac:dyDescent="0.3">
      <c r="A20" s="1" t="s">
        <v>57</v>
      </c>
      <c r="B20" s="1" t="s">
        <v>113</v>
      </c>
      <c r="C20" s="1">
        <v>530</v>
      </c>
      <c r="D20" s="1">
        <v>550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1AA4F-9C6C-4594-A304-2858DB099040}">
  <dimension ref="A1:E24"/>
  <sheetViews>
    <sheetView rightToLeft="1" tabSelected="1" workbookViewId="0">
      <selection activeCell="B6" sqref="B6"/>
    </sheetView>
  </sheetViews>
  <sheetFormatPr defaultRowHeight="14.4" x14ac:dyDescent="0.3"/>
  <cols>
    <col min="1" max="1" width="23.6640625" bestFit="1" customWidth="1"/>
    <col min="2" max="2" width="77.6640625" bestFit="1" customWidth="1"/>
    <col min="3" max="3" width="11.44140625" bestFit="1" customWidth="1"/>
    <col min="4" max="4" width="10.33203125" bestFit="1" customWidth="1"/>
    <col min="5" max="5" width="67.77734375" bestFit="1" customWidth="1"/>
  </cols>
  <sheetData>
    <row r="1" spans="1:5" ht="21" x14ac:dyDescent="0.3">
      <c r="A1" s="2" t="s">
        <v>2</v>
      </c>
      <c r="B1" s="2" t="s">
        <v>0</v>
      </c>
      <c r="C1" s="2" t="s">
        <v>29</v>
      </c>
      <c r="D1" s="2" t="s">
        <v>30</v>
      </c>
      <c r="E1" s="2" t="s">
        <v>1</v>
      </c>
    </row>
    <row r="2" spans="1:5" ht="18" x14ac:dyDescent="0.3">
      <c r="A2" s="1" t="s">
        <v>3</v>
      </c>
      <c r="B2" s="1" t="s">
        <v>6</v>
      </c>
      <c r="C2" s="1">
        <v>45</v>
      </c>
      <c r="D2" s="1">
        <v>56</v>
      </c>
      <c r="E2" s="1"/>
    </row>
    <row r="3" spans="1:5" ht="18" x14ac:dyDescent="0.3">
      <c r="A3" s="1" t="s">
        <v>4</v>
      </c>
      <c r="B3" s="1" t="s">
        <v>5</v>
      </c>
      <c r="C3" s="1">
        <v>59</v>
      </c>
      <c r="D3" s="1">
        <v>83</v>
      </c>
      <c r="E3" s="1"/>
    </row>
    <row r="4" spans="1:5" ht="18" x14ac:dyDescent="0.3">
      <c r="A4" s="1" t="s">
        <v>7</v>
      </c>
      <c r="B4" s="1" t="s">
        <v>8</v>
      </c>
      <c r="C4" s="1">
        <v>86</v>
      </c>
      <c r="D4" s="1">
        <v>98</v>
      </c>
      <c r="E4" s="1"/>
    </row>
    <row r="5" spans="1:5" ht="18" x14ac:dyDescent="0.3">
      <c r="A5" s="1" t="s">
        <v>9</v>
      </c>
      <c r="B5" s="1" t="s">
        <v>10</v>
      </c>
      <c r="C5" s="1">
        <v>101</v>
      </c>
      <c r="D5" s="1">
        <v>129</v>
      </c>
      <c r="E5" s="1"/>
    </row>
    <row r="6" spans="1:5" ht="18" x14ac:dyDescent="0.3">
      <c r="A6" s="1" t="s">
        <v>11</v>
      </c>
      <c r="B6" s="1" t="s">
        <v>12</v>
      </c>
      <c r="C6" s="1">
        <v>146</v>
      </c>
      <c r="D6" s="1">
        <v>169</v>
      </c>
      <c r="E6" s="1" t="s">
        <v>19</v>
      </c>
    </row>
    <row r="7" spans="1:5" ht="18" x14ac:dyDescent="0.3">
      <c r="A7" s="1" t="s">
        <v>13</v>
      </c>
      <c r="B7" s="1" t="s">
        <v>14</v>
      </c>
      <c r="C7" s="1">
        <v>172</v>
      </c>
      <c r="D7" s="1">
        <v>205</v>
      </c>
      <c r="E7" s="1" t="s">
        <v>20</v>
      </c>
    </row>
    <row r="8" spans="1:5" ht="18" x14ac:dyDescent="0.3">
      <c r="A8" s="1" t="s">
        <v>15</v>
      </c>
      <c r="B8" s="1" t="s">
        <v>16</v>
      </c>
      <c r="C8" s="1">
        <v>208</v>
      </c>
      <c r="D8" s="1">
        <v>233</v>
      </c>
      <c r="E8" s="1" t="s">
        <v>19</v>
      </c>
    </row>
    <row r="9" spans="1:5" ht="18" x14ac:dyDescent="0.3">
      <c r="A9" s="1" t="s">
        <v>17</v>
      </c>
      <c r="B9" s="1" t="s">
        <v>18</v>
      </c>
      <c r="C9" s="1">
        <v>236</v>
      </c>
      <c r="D9" s="1">
        <v>269</v>
      </c>
      <c r="E9" s="1" t="s">
        <v>20</v>
      </c>
    </row>
    <row r="10" spans="1:5" ht="18" x14ac:dyDescent="0.3">
      <c r="A10" s="1" t="s">
        <v>21</v>
      </c>
      <c r="B10" s="1" t="s">
        <v>22</v>
      </c>
      <c r="C10" s="1">
        <v>272</v>
      </c>
      <c r="D10" s="1">
        <v>297</v>
      </c>
      <c r="E10" s="1"/>
    </row>
    <row r="11" spans="1:5" ht="18" x14ac:dyDescent="0.3">
      <c r="A11" s="1" t="s">
        <v>23</v>
      </c>
      <c r="B11" s="1" t="s">
        <v>24</v>
      </c>
      <c r="C11" s="1">
        <v>300</v>
      </c>
      <c r="D11" s="1">
        <v>328</v>
      </c>
      <c r="E11" s="1"/>
    </row>
    <row r="12" spans="1:5" ht="18" x14ac:dyDescent="0.3">
      <c r="A12" s="1" t="s">
        <v>25</v>
      </c>
      <c r="B12" s="1" t="s">
        <v>26</v>
      </c>
      <c r="C12" s="1">
        <v>332</v>
      </c>
      <c r="D12" s="1">
        <v>397</v>
      </c>
      <c r="E12" s="1"/>
    </row>
    <row r="13" spans="1:5" ht="18" x14ac:dyDescent="0.3">
      <c r="A13" s="1" t="s">
        <v>27</v>
      </c>
      <c r="B13" s="1" t="s">
        <v>28</v>
      </c>
      <c r="C13" s="1">
        <v>400</v>
      </c>
      <c r="D13" s="1">
        <v>466</v>
      </c>
      <c r="E13" s="1"/>
    </row>
    <row r="14" spans="1:5" ht="18" x14ac:dyDescent="0.3">
      <c r="A14" s="1" t="s">
        <v>31</v>
      </c>
      <c r="B14" s="1" t="s">
        <v>32</v>
      </c>
      <c r="C14" s="1">
        <v>469</v>
      </c>
      <c r="D14" s="1">
        <v>506</v>
      </c>
      <c r="E14" s="1" t="s">
        <v>20</v>
      </c>
    </row>
    <row r="15" spans="1:5" ht="18" x14ac:dyDescent="0.3">
      <c r="A15" s="1" t="s">
        <v>33</v>
      </c>
      <c r="B15" s="1" t="s">
        <v>34</v>
      </c>
      <c r="C15" s="1">
        <v>509</v>
      </c>
      <c r="D15" s="1">
        <v>578</v>
      </c>
      <c r="E15" s="1" t="s">
        <v>20</v>
      </c>
    </row>
    <row r="16" spans="1:5" ht="18" x14ac:dyDescent="0.3">
      <c r="A16" s="1" t="s">
        <v>35</v>
      </c>
      <c r="B16" s="1" t="s">
        <v>36</v>
      </c>
      <c r="C16" s="1">
        <v>581</v>
      </c>
      <c r="D16" s="1">
        <v>650</v>
      </c>
      <c r="E16" s="1" t="s">
        <v>20</v>
      </c>
    </row>
    <row r="17" spans="1:5" ht="18" x14ac:dyDescent="0.3">
      <c r="A17" s="1" t="s">
        <v>37</v>
      </c>
      <c r="B17" s="1" t="s">
        <v>38</v>
      </c>
      <c r="C17" s="1">
        <v>653</v>
      </c>
      <c r="D17" s="1">
        <v>674</v>
      </c>
      <c r="E17" s="1"/>
    </row>
    <row r="18" spans="1:5" ht="18" x14ac:dyDescent="0.3">
      <c r="A18" s="1" t="s">
        <v>39</v>
      </c>
      <c r="B18" s="1" t="s">
        <v>41</v>
      </c>
      <c r="C18" s="1">
        <v>677</v>
      </c>
      <c r="D18" s="1">
        <v>698</v>
      </c>
      <c r="E18" s="1"/>
    </row>
    <row r="19" spans="1:5" ht="18" x14ac:dyDescent="0.3">
      <c r="A19" s="1" t="s">
        <v>42</v>
      </c>
      <c r="B19" s="1" t="s">
        <v>40</v>
      </c>
      <c r="C19" s="1">
        <v>701</v>
      </c>
      <c r="D19" s="1">
        <v>724</v>
      </c>
      <c r="E19" s="1"/>
    </row>
    <row r="20" spans="1:5" ht="18" x14ac:dyDescent="0.3">
      <c r="A20" s="1" t="s">
        <v>57</v>
      </c>
      <c r="B20" s="1" t="s">
        <v>115</v>
      </c>
      <c r="C20" s="1">
        <v>727</v>
      </c>
      <c r="D20" s="1">
        <v>771</v>
      </c>
      <c r="E20" s="1"/>
    </row>
    <row r="21" spans="1:5" ht="18" x14ac:dyDescent="0.3">
      <c r="A21" s="1" t="s">
        <v>44</v>
      </c>
      <c r="B21" s="1" t="s">
        <v>43</v>
      </c>
      <c r="C21" s="1">
        <v>822</v>
      </c>
      <c r="D21" s="1">
        <v>943</v>
      </c>
      <c r="E21" s="1"/>
    </row>
    <row r="22" spans="1:5" ht="18" x14ac:dyDescent="0.3">
      <c r="A22" s="1" t="s">
        <v>46</v>
      </c>
      <c r="B22" s="1" t="s">
        <v>45</v>
      </c>
      <c r="C22" s="1">
        <v>946</v>
      </c>
      <c r="D22" s="1">
        <v>1024</v>
      </c>
      <c r="E22" s="1"/>
    </row>
    <row r="23" spans="1:5" ht="18" x14ac:dyDescent="0.3">
      <c r="A23" s="1" t="s">
        <v>47</v>
      </c>
      <c r="B23" s="1" t="s">
        <v>48</v>
      </c>
      <c r="C23" s="1">
        <v>1027</v>
      </c>
      <c r="D23" s="1">
        <v>1114</v>
      </c>
      <c r="E23" s="1" t="s">
        <v>20</v>
      </c>
    </row>
    <row r="24" spans="1:5" ht="18" x14ac:dyDescent="0.3">
      <c r="A24" s="1" t="s">
        <v>49</v>
      </c>
      <c r="B24" s="1" t="s">
        <v>50</v>
      </c>
      <c r="C24" s="1">
        <v>1047</v>
      </c>
      <c r="D24" s="1">
        <v>1130</v>
      </c>
      <c r="E24" s="1" t="s">
        <v>20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98F30-8036-4AA3-A695-E64C7F882863}">
  <dimension ref="A1:D9"/>
  <sheetViews>
    <sheetView rightToLeft="1" zoomScaleNormal="100" workbookViewId="0">
      <selection activeCell="D9" sqref="D9"/>
    </sheetView>
  </sheetViews>
  <sheetFormatPr defaultRowHeight="14.4" x14ac:dyDescent="0.3"/>
  <cols>
    <col min="1" max="1" width="15.44140625" bestFit="1" customWidth="1"/>
    <col min="2" max="2" width="54.33203125" bestFit="1" customWidth="1"/>
    <col min="3" max="3" width="11.44140625" bestFit="1" customWidth="1"/>
    <col min="4" max="4" width="10.33203125" bestFit="1" customWidth="1"/>
  </cols>
  <sheetData>
    <row r="1" spans="1:4" ht="21" x14ac:dyDescent="0.3">
      <c r="A1" s="2" t="s">
        <v>2</v>
      </c>
      <c r="B1" s="2" t="s">
        <v>0</v>
      </c>
      <c r="C1" s="2" t="s">
        <v>29</v>
      </c>
      <c r="D1" s="2" t="s">
        <v>30</v>
      </c>
    </row>
    <row r="2" spans="1:4" ht="18" x14ac:dyDescent="0.3">
      <c r="A2" s="1" t="s">
        <v>3</v>
      </c>
      <c r="B2" s="1" t="s">
        <v>63</v>
      </c>
      <c r="C2" s="1">
        <v>28</v>
      </c>
      <c r="D2" s="1">
        <v>43</v>
      </c>
    </row>
    <row r="3" spans="1:4" ht="18" x14ac:dyDescent="0.3">
      <c r="A3" s="1" t="s">
        <v>4</v>
      </c>
      <c r="B3" s="1" t="s">
        <v>64</v>
      </c>
      <c r="C3" s="1">
        <v>48</v>
      </c>
      <c r="D3" s="1">
        <v>85</v>
      </c>
    </row>
    <row r="4" spans="1:4" ht="18" x14ac:dyDescent="0.3">
      <c r="A4" s="1" t="s">
        <v>7</v>
      </c>
      <c r="B4" s="1" t="s">
        <v>65</v>
      </c>
      <c r="C4" s="1">
        <v>90</v>
      </c>
      <c r="D4" s="1">
        <v>113</v>
      </c>
    </row>
    <row r="5" spans="1:4" ht="18" x14ac:dyDescent="0.3">
      <c r="A5" s="1" t="s">
        <v>9</v>
      </c>
      <c r="B5" s="1" t="s">
        <v>66</v>
      </c>
      <c r="C5" s="1">
        <v>118</v>
      </c>
      <c r="D5" s="1">
        <v>163</v>
      </c>
    </row>
    <row r="6" spans="1:4" ht="18" x14ac:dyDescent="0.3">
      <c r="A6" s="1" t="s">
        <v>11</v>
      </c>
      <c r="B6" s="1" t="s">
        <v>107</v>
      </c>
      <c r="C6" s="1">
        <v>168</v>
      </c>
      <c r="D6" s="1">
        <v>188</v>
      </c>
    </row>
    <row r="7" spans="1:4" ht="18" x14ac:dyDescent="0.3">
      <c r="A7" s="1" t="s">
        <v>13</v>
      </c>
      <c r="B7" s="1" t="s">
        <v>108</v>
      </c>
      <c r="C7" s="1">
        <v>193</v>
      </c>
      <c r="D7" s="1">
        <v>231</v>
      </c>
    </row>
    <row r="8" spans="1:4" ht="18" x14ac:dyDescent="0.3">
      <c r="A8" s="1" t="s">
        <v>15</v>
      </c>
      <c r="B8" s="1" t="s">
        <v>114</v>
      </c>
      <c r="C8" s="1">
        <v>236</v>
      </c>
      <c r="D8" s="1">
        <v>270</v>
      </c>
    </row>
    <row r="9" spans="1:4" ht="18" x14ac:dyDescent="0.3">
      <c r="A9" s="1" t="s">
        <v>85</v>
      </c>
      <c r="B9" s="1" t="s">
        <v>67</v>
      </c>
      <c r="C9" s="1">
        <v>275</v>
      </c>
      <c r="D9" s="1">
        <v>283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976E6-50C5-4172-912A-C972778DB934}">
  <dimension ref="A1:D13"/>
  <sheetViews>
    <sheetView rightToLeft="1" workbookViewId="0">
      <selection activeCell="D13" sqref="D13"/>
    </sheetView>
  </sheetViews>
  <sheetFormatPr defaultRowHeight="14.4" x14ac:dyDescent="0.3"/>
  <cols>
    <col min="1" max="1" width="18.109375" bestFit="1" customWidth="1"/>
    <col min="2" max="2" width="56.44140625" bestFit="1" customWidth="1"/>
    <col min="3" max="3" width="11.44140625" bestFit="1" customWidth="1"/>
    <col min="4" max="4" width="10.33203125" bestFit="1" customWidth="1"/>
  </cols>
  <sheetData>
    <row r="1" spans="1:4" ht="21" x14ac:dyDescent="0.3">
      <c r="A1" s="2" t="s">
        <v>2</v>
      </c>
      <c r="B1" s="2" t="s">
        <v>0</v>
      </c>
      <c r="C1" s="2" t="s">
        <v>29</v>
      </c>
      <c r="D1" s="2" t="s">
        <v>30</v>
      </c>
    </row>
    <row r="2" spans="1:4" ht="18" x14ac:dyDescent="0.3">
      <c r="A2" s="1" t="s">
        <v>3</v>
      </c>
      <c r="B2" s="1" t="s">
        <v>77</v>
      </c>
      <c r="C2" s="1">
        <v>26</v>
      </c>
      <c r="D2" s="1">
        <v>33</v>
      </c>
    </row>
    <row r="3" spans="1:4" ht="18" x14ac:dyDescent="0.3">
      <c r="A3" s="1" t="s">
        <v>4</v>
      </c>
      <c r="B3" s="1" t="s">
        <v>78</v>
      </c>
      <c r="C3" s="1">
        <v>38</v>
      </c>
      <c r="D3" s="1">
        <v>53</v>
      </c>
    </row>
    <row r="4" spans="1:4" ht="18" x14ac:dyDescent="0.3">
      <c r="A4" s="1" t="s">
        <v>7</v>
      </c>
      <c r="B4" s="1" t="s">
        <v>79</v>
      </c>
      <c r="C4" s="1">
        <v>58</v>
      </c>
      <c r="D4" s="1">
        <v>69</v>
      </c>
    </row>
    <row r="5" spans="1:4" ht="18" x14ac:dyDescent="0.3">
      <c r="A5" s="1" t="s">
        <v>9</v>
      </c>
      <c r="B5" s="1" t="s">
        <v>80</v>
      </c>
      <c r="C5" s="1">
        <v>74</v>
      </c>
      <c r="D5" s="1">
        <v>94</v>
      </c>
    </row>
    <row r="6" spans="1:4" ht="18" x14ac:dyDescent="0.3">
      <c r="A6" s="1" t="s">
        <v>11</v>
      </c>
      <c r="B6" s="1" t="s">
        <v>82</v>
      </c>
      <c r="C6" s="1">
        <v>99</v>
      </c>
      <c r="D6" s="1">
        <v>108</v>
      </c>
    </row>
    <row r="7" spans="1:4" ht="18" x14ac:dyDescent="0.3">
      <c r="A7" s="1" t="s">
        <v>13</v>
      </c>
      <c r="B7" s="1" t="s">
        <v>83</v>
      </c>
      <c r="C7" s="1">
        <v>113</v>
      </c>
      <c r="D7" s="1">
        <v>131</v>
      </c>
    </row>
    <row r="8" spans="1:4" ht="18" x14ac:dyDescent="0.3">
      <c r="A8" s="1" t="s">
        <v>15</v>
      </c>
      <c r="B8" s="1" t="s">
        <v>84</v>
      </c>
      <c r="C8" s="1">
        <v>136</v>
      </c>
      <c r="D8" s="1">
        <v>149</v>
      </c>
    </row>
    <row r="9" spans="1:4" ht="18" x14ac:dyDescent="0.3">
      <c r="A9" s="1" t="s">
        <v>85</v>
      </c>
      <c r="B9" s="1" t="s">
        <v>86</v>
      </c>
      <c r="C9" s="1">
        <v>154</v>
      </c>
      <c r="D9" s="1">
        <v>175</v>
      </c>
    </row>
    <row r="10" spans="1:4" ht="18" x14ac:dyDescent="0.3">
      <c r="A10" s="1" t="s">
        <v>21</v>
      </c>
      <c r="B10" s="1" t="s">
        <v>89</v>
      </c>
      <c r="C10" s="1">
        <v>180</v>
      </c>
      <c r="D10" s="1">
        <v>190</v>
      </c>
    </row>
    <row r="11" spans="1:4" ht="18" x14ac:dyDescent="0.3">
      <c r="A11" s="1" t="s">
        <v>23</v>
      </c>
      <c r="B11" s="1" t="s">
        <v>90</v>
      </c>
      <c r="C11" s="1">
        <v>195</v>
      </c>
      <c r="D11" s="1">
        <v>205</v>
      </c>
    </row>
    <row r="12" spans="1:4" ht="18" x14ac:dyDescent="0.3">
      <c r="A12" s="1" t="s">
        <v>25</v>
      </c>
      <c r="B12" s="1" t="s">
        <v>91</v>
      </c>
      <c r="C12" s="1">
        <v>210</v>
      </c>
      <c r="D12" s="1">
        <v>229</v>
      </c>
    </row>
    <row r="13" spans="1:4" ht="18" x14ac:dyDescent="0.3">
      <c r="A13" s="1" t="s">
        <v>27</v>
      </c>
      <c r="B13" s="1" t="s">
        <v>92</v>
      </c>
      <c r="C13" s="1">
        <v>234</v>
      </c>
      <c r="D13" s="1">
        <v>258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8D3D4-7621-4151-A65E-840D47275590}">
  <dimension ref="A1:D9"/>
  <sheetViews>
    <sheetView rightToLeft="1" workbookViewId="0">
      <selection activeCell="D9" sqref="D9"/>
    </sheetView>
  </sheetViews>
  <sheetFormatPr defaultRowHeight="14.4" x14ac:dyDescent="0.3"/>
  <cols>
    <col min="1" max="1" width="15.44140625" bestFit="1" customWidth="1"/>
    <col min="2" max="2" width="65.33203125" bestFit="1" customWidth="1"/>
    <col min="3" max="3" width="11.44140625" bestFit="1" customWidth="1"/>
    <col min="4" max="4" width="10.33203125" bestFit="1" customWidth="1"/>
  </cols>
  <sheetData>
    <row r="1" spans="1:4" ht="21" x14ac:dyDescent="0.3">
      <c r="A1" s="2" t="s">
        <v>2</v>
      </c>
      <c r="B1" s="2" t="s">
        <v>0</v>
      </c>
      <c r="C1" s="2" t="s">
        <v>29</v>
      </c>
      <c r="D1" s="2" t="s">
        <v>30</v>
      </c>
    </row>
    <row r="2" spans="1:4" ht="18" x14ac:dyDescent="0.3">
      <c r="A2" s="1" t="s">
        <v>3</v>
      </c>
      <c r="B2" s="1" t="s">
        <v>87</v>
      </c>
      <c r="C2" s="1">
        <v>19</v>
      </c>
      <c r="D2" s="1">
        <v>60</v>
      </c>
    </row>
    <row r="3" spans="1:4" ht="18" x14ac:dyDescent="0.3">
      <c r="A3" s="1" t="s">
        <v>4</v>
      </c>
      <c r="B3" s="1" t="s">
        <v>88</v>
      </c>
      <c r="C3" s="1">
        <v>65</v>
      </c>
      <c r="D3" s="1">
        <v>113</v>
      </c>
    </row>
    <row r="4" spans="1:4" ht="18" x14ac:dyDescent="0.3">
      <c r="A4" s="1" t="s">
        <v>7</v>
      </c>
      <c r="B4" s="1" t="s">
        <v>93</v>
      </c>
      <c r="C4" s="1">
        <v>118</v>
      </c>
      <c r="D4" s="1">
        <v>174</v>
      </c>
    </row>
    <row r="5" spans="1:4" ht="18" x14ac:dyDescent="0.3">
      <c r="A5" s="1" t="s">
        <v>9</v>
      </c>
      <c r="B5" s="1" t="s">
        <v>94</v>
      </c>
      <c r="C5" s="1">
        <v>179</v>
      </c>
      <c r="D5" s="1">
        <v>243</v>
      </c>
    </row>
    <row r="6" spans="1:4" ht="18" x14ac:dyDescent="0.3">
      <c r="A6" s="1" t="s">
        <v>11</v>
      </c>
      <c r="B6" s="1" t="s">
        <v>95</v>
      </c>
      <c r="C6" s="1">
        <v>248</v>
      </c>
      <c r="D6" s="1">
        <v>296</v>
      </c>
    </row>
    <row r="7" spans="1:4" ht="18" x14ac:dyDescent="0.3">
      <c r="A7" s="1" t="s">
        <v>13</v>
      </c>
      <c r="B7" s="1" t="s">
        <v>96</v>
      </c>
      <c r="C7" s="1">
        <v>301</v>
      </c>
      <c r="D7" s="1">
        <v>356</v>
      </c>
    </row>
    <row r="8" spans="1:4" ht="18" x14ac:dyDescent="0.3">
      <c r="A8" s="1" t="s">
        <v>15</v>
      </c>
      <c r="B8" s="1" t="s">
        <v>97</v>
      </c>
      <c r="C8" s="1">
        <v>361</v>
      </c>
      <c r="D8" s="1">
        <v>406</v>
      </c>
    </row>
    <row r="9" spans="1:4" ht="18" x14ac:dyDescent="0.3">
      <c r="A9" s="1" t="s">
        <v>85</v>
      </c>
      <c r="B9" s="1" t="s">
        <v>98</v>
      </c>
      <c r="C9" s="1">
        <v>411</v>
      </c>
      <c r="D9" s="1">
        <v>463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C164D-DC98-45D7-8643-C711F649F3E1}">
  <dimension ref="A1:D6"/>
  <sheetViews>
    <sheetView rightToLeft="1" zoomScaleNormal="100" workbookViewId="0">
      <selection activeCell="D6" sqref="D6"/>
    </sheetView>
  </sheetViews>
  <sheetFormatPr defaultRowHeight="14.4" x14ac:dyDescent="0.3"/>
  <cols>
    <col min="1" max="1" width="14.6640625" bestFit="1" customWidth="1"/>
    <col min="2" max="2" width="70" bestFit="1" customWidth="1"/>
    <col min="3" max="3" width="11.44140625" bestFit="1" customWidth="1"/>
    <col min="4" max="4" width="10.33203125" bestFit="1" customWidth="1"/>
  </cols>
  <sheetData>
    <row r="1" spans="1:4" ht="21" x14ac:dyDescent="0.3">
      <c r="A1" s="2" t="s">
        <v>2</v>
      </c>
      <c r="B1" s="2" t="s">
        <v>0</v>
      </c>
      <c r="C1" s="2" t="s">
        <v>29</v>
      </c>
      <c r="D1" s="2" t="s">
        <v>30</v>
      </c>
    </row>
    <row r="2" spans="1:4" ht="18" x14ac:dyDescent="0.3">
      <c r="A2" s="1" t="s">
        <v>3</v>
      </c>
      <c r="B2" s="1" t="s">
        <v>99</v>
      </c>
      <c r="C2" s="1">
        <v>19</v>
      </c>
      <c r="D2" s="1">
        <v>26</v>
      </c>
    </row>
    <row r="3" spans="1:4" ht="18" x14ac:dyDescent="0.3">
      <c r="A3" s="1" t="s">
        <v>4</v>
      </c>
      <c r="B3" s="1" t="s">
        <v>100</v>
      </c>
      <c r="C3" s="1">
        <v>31</v>
      </c>
      <c r="D3" s="1">
        <v>58</v>
      </c>
    </row>
    <row r="4" spans="1:4" ht="18" x14ac:dyDescent="0.3">
      <c r="A4" s="1" t="s">
        <v>7</v>
      </c>
      <c r="B4" s="1" t="s">
        <v>101</v>
      </c>
      <c r="C4" s="1">
        <v>63</v>
      </c>
      <c r="D4" s="1">
        <v>71</v>
      </c>
    </row>
    <row r="5" spans="1:4" ht="18" x14ac:dyDescent="0.3">
      <c r="A5" s="1" t="s">
        <v>9</v>
      </c>
      <c r="B5" s="1" t="s">
        <v>83</v>
      </c>
      <c r="C5" s="1">
        <v>76</v>
      </c>
      <c r="D5" s="1">
        <v>94</v>
      </c>
    </row>
    <row r="6" spans="1:4" ht="18" x14ac:dyDescent="0.3">
      <c r="A6" s="1" t="s">
        <v>11</v>
      </c>
      <c r="B6" s="1" t="s">
        <v>102</v>
      </c>
      <c r="C6" s="1">
        <v>99</v>
      </c>
      <c r="D6" s="1">
        <v>111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E5C77-186F-4B7F-8F69-0F31E0A1A5BF}">
  <dimension ref="A1:C8"/>
  <sheetViews>
    <sheetView rightToLeft="1" zoomScaleNormal="100" workbookViewId="0">
      <selection activeCell="F18" sqref="F18"/>
    </sheetView>
  </sheetViews>
  <sheetFormatPr defaultRowHeight="14.4" x14ac:dyDescent="0.3"/>
  <cols>
    <col min="1" max="1" width="18.33203125" bestFit="1" customWidth="1"/>
    <col min="2" max="2" width="14.44140625" bestFit="1" customWidth="1"/>
    <col min="3" max="3" width="8.77734375" bestFit="1" customWidth="1"/>
  </cols>
  <sheetData>
    <row r="1" spans="1:3" ht="21" x14ac:dyDescent="0.3">
      <c r="A1" s="6" t="s">
        <v>68</v>
      </c>
      <c r="B1" s="6" t="s">
        <v>69</v>
      </c>
      <c r="C1" s="6" t="s">
        <v>70</v>
      </c>
    </row>
    <row r="2" spans="1:3" ht="18" x14ac:dyDescent="0.3">
      <c r="A2" s="3" t="s">
        <v>71</v>
      </c>
      <c r="B2" s="3">
        <f>COUNTA(Table13[اسم الحالة])</f>
        <v>19</v>
      </c>
      <c r="C2" s="7">
        <f t="shared" ref="C2:C7" si="0">B2/$B$8</f>
        <v>0.25333333333333335</v>
      </c>
    </row>
    <row r="3" spans="1:3" ht="18" x14ac:dyDescent="0.3">
      <c r="A3" s="3" t="s">
        <v>72</v>
      </c>
      <c r="B3" s="3">
        <f>COUNTA(Table1[اسم الحالة])</f>
        <v>23</v>
      </c>
      <c r="C3" s="7">
        <f t="shared" si="0"/>
        <v>0.30666666666666664</v>
      </c>
    </row>
    <row r="4" spans="1:3" ht="18" x14ac:dyDescent="0.3">
      <c r="A4" s="3" t="s">
        <v>73</v>
      </c>
      <c r="B4" s="3">
        <f>COUNTA(Table134[اسم الحالة])</f>
        <v>8</v>
      </c>
      <c r="C4" s="7">
        <f t="shared" si="0"/>
        <v>0.10666666666666667</v>
      </c>
    </row>
    <row r="5" spans="1:3" ht="18" x14ac:dyDescent="0.3">
      <c r="A5" s="3" t="s">
        <v>74</v>
      </c>
      <c r="B5" s="3">
        <f>COUNTA(Table1345[اسم الحالة])</f>
        <v>12</v>
      </c>
      <c r="C5" s="7">
        <f t="shared" si="0"/>
        <v>0.16</v>
      </c>
    </row>
    <row r="6" spans="1:3" ht="18" x14ac:dyDescent="0.3">
      <c r="A6" s="3" t="s">
        <v>75</v>
      </c>
      <c r="B6" s="3">
        <f>COUNTA(Table13457[اسم الحالة])</f>
        <v>8</v>
      </c>
      <c r="C6" s="7">
        <f t="shared" si="0"/>
        <v>0.10666666666666667</v>
      </c>
    </row>
    <row r="7" spans="1:3" ht="18" x14ac:dyDescent="0.3">
      <c r="A7" s="3" t="s">
        <v>76</v>
      </c>
      <c r="B7" s="3">
        <f>COUNTA(Table13458[اسم الحالة])</f>
        <v>5</v>
      </c>
      <c r="C7" s="7">
        <f t="shared" si="0"/>
        <v>6.6666666666666666E-2</v>
      </c>
    </row>
    <row r="8" spans="1:3" ht="18" x14ac:dyDescent="0.3">
      <c r="A8" s="5" t="s">
        <v>81</v>
      </c>
      <c r="B8" s="3">
        <f>SUM(B2:B7)</f>
        <v>75</v>
      </c>
      <c r="C8" s="4">
        <f>SUM(C2:C7)</f>
        <v>1.0000000000000002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1-Form_Intail</vt:lpstr>
      <vt:lpstr>2- Form_Hide</vt:lpstr>
      <vt:lpstr>3- Form_Vaildation</vt:lpstr>
      <vt:lpstr>4- Docs_Hide</vt:lpstr>
      <vt:lpstr>5- Docs_Vaildation</vt:lpstr>
      <vt:lpstr>6- Unused_Cells</vt:lpstr>
      <vt:lpstr>احصائيات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يوسف احسان علي</dc:creator>
  <cp:lastModifiedBy>Yousef Ihsan</cp:lastModifiedBy>
  <dcterms:created xsi:type="dcterms:W3CDTF">2015-06-05T18:17:20Z</dcterms:created>
  <dcterms:modified xsi:type="dcterms:W3CDTF">2026-10-07T09:17:01Z</dcterms:modified>
</cp:coreProperties>
</file>